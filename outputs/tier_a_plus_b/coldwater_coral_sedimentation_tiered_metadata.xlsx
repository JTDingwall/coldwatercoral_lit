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f19d273c14481b" /></Relationships>
</file>

<file path=xl/workbook.xml><?xml version="1.0" encoding="utf-8"?>
<x:workbook xmlns:x="http://schemas.openxmlformats.org/spreadsheetml/2006/main">
  <x:sheets>
    <x:sheet xmlns:r="http://schemas.openxmlformats.org/officeDocument/2006/relationships" name="Summary" sheetId="1" r:id="R6d1d0194b2f64071"/>
    <x:sheet xmlns:r="http://schemas.openxmlformats.org/officeDocument/2006/relationships" name="Tier A" sheetId="2" r:id="R13b8543f09574311"/>
    <x:sheet xmlns:r="http://schemas.openxmlformats.org/officeDocument/2006/relationships" name="Tier B" sheetId="3" r:id="R9db79f92fc334d78"/>
    <x:sheet xmlns:r="http://schemas.openxmlformats.org/officeDocument/2006/relationships" name="Combined" sheetId="4" r:id="Ree90d25769fa49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sz val="9"/>
      <x:name val="Arial"/>
    </x:font>
    <x:font>
      <x:b/>
      <x:sz val="9"/>
      <x:color rgb="FFFFFFFF"/>
      <x:name val="Arial"/>
    </x:font>
    <x:font>
      <x:b/>
      <x:sz val="9"/>
      <x:color rgb="FF123B52"/>
      <x:name val="Arial"/>
    </x:font>
    <x:font>
      <x:b/>
      <x:sz val="18"/>
      <x:color rgb="FFFFFFFF"/>
      <x:name val="Arial"/>
    </x:font>
    <x:font>
      <x:sz val="11"/>
      <x:name val="Arial"/>
    </x:font>
    <x:font>
      <x:b/>
      <x:sz val="11"/>
      <x:color rgb="FF123B52"/>
      <x:name val="Arial"/>
    </x:font>
    <x:font>
      <x:b/>
      <x:sz val="12"/>
      <x:color rgb="FF1D7182"/>
      <x:name val="Arial"/>
    </x:font>
    <x:font>
      <x:b/>
      <x:sz val="11"/>
      <x:color rgb="FFFFFFFF"/>
      <x:name val="Arial"/>
    </x:font>
    <x:font>
      <x:sz val="10"/>
      <x:color rgb="FF263A43"/>
      <x:name val="Arial"/>
    </x:font>
    <x:font>
      <x:i/>
      <x:sz val="10"/>
      <x:color rgb="FF5E4A1A"/>
      <x:name val="Arial"/>
    </x:font>
  </x:fonts>
  <x:fills count="11">
    <x:fill>
      <x:patternFill patternType="none"/>
    </x:fill>
    <x:fill>
      <x:patternFill patternType="gray125"/>
    </x:fill>
    <x:fill>
      <x:patternFill patternType="solid">
        <x:fgColor rgb="FF123B52"/>
      </x:patternFill>
    </x:fill>
    <x:fill>
      <x:patternFill patternType="solid">
        <x:fgColor rgb="FFDDEEF2"/>
      </x:patternFill>
    </x:fill>
    <x:fill>
      <x:patternFill patternType="solid">
        <x:fgColor rgb="FFFFF0C7"/>
      </x:patternFill>
    </x:fill>
    <x:fill>
      <x:patternFill patternType="solid">
        <x:fgColor rgb="FFE8EEF2"/>
      </x:patternFill>
    </x:fill>
    <x:fill>
      <x:patternFill patternType="solid">
        <x:fgColor rgb="FFEAF4F7"/>
      </x:patternFill>
    </x:fill>
    <x:fill>
      <x:patternFill patternType="solid">
        <x:fgColor rgb="FFFFFFFF"/>
      </x:patternFill>
    </x:fill>
    <x:fill>
      <x:patternFill patternType="solid">
        <x:fgColor rgb="FF1D7182"/>
      </x:patternFill>
    </x:fill>
    <x:fill>
      <x:patternFill patternType="solid">
        <x:fgColor rgb="FFF6F8F9"/>
      </x:patternFill>
    </x:fill>
    <x:fill>
      <x:patternFill patternType="solid">
        <x:fgColor rgb="FFFFF3D6"/>
      </x:patternFill>
    </x:fill>
  </x:fills>
  <x:borders count="15">
    <x:border/>
    <x:border>
      <x:right style="thin">
        <x:color rgb="FFC9D5DB"/>
      </x:right>
      <x:bottom style="thin">
        <x:color rgb="FFC9D5DB"/>
      </x:bottom>
    </x:border>
    <x:border>
      <x:left style="thin">
        <x:color rgb="FFC9D5DB"/>
      </x:left>
      <x:bottom style="thin">
        <x:color rgb="FFC9D5DB"/>
      </x:bottom>
    </x:border>
    <x:border>
      <x:right style="thin">
        <x:color rgb="FFC9D5DB"/>
      </x:right>
      <x:top style="thin">
        <x:color rgb="FFC9D5DB"/>
      </x:top>
      <x:bottom style="thin">
        <x:color rgb="FFC9D5DB"/>
      </x:bottom>
    </x:border>
    <x:border>
      <x:left style="thin">
        <x:color rgb="FFC9D5DB"/>
      </x:left>
      <x:top style="thin">
        <x:color rgb="FFC9D5DB"/>
      </x:top>
      <x:bottom style="thin">
        <x:color rgb="FFC9D5DB"/>
      </x:bottom>
    </x:border>
    <x:border>
      <x:right style="thin">
        <x:color rgb="FFC9D5DB"/>
      </x:right>
      <x:top style="thin">
        <x:color rgb="FFC9D5DB"/>
      </x:top>
    </x:border>
    <x:border>
      <x:left style="thin">
        <x:color rgb="FFC9D5DB"/>
      </x:left>
      <x:top style="thin">
        <x:color rgb="FFC9D5DB"/>
      </x:top>
    </x:border>
    <x:border>
      <x:left style="thin">
        <x:color rgb="FFB8C8CF"/>
      </x:left>
      <x:top style="thin">
        <x:color rgb="FFB8C8CF"/>
      </x:top>
    </x:border>
    <x:border>
      <x:top style="thin">
        <x:color rgb="FFB8C8CF"/>
      </x:top>
    </x:border>
    <x:border>
      <x:right style="thin">
        <x:color rgb="FFB8C8CF"/>
      </x:right>
      <x:top style="thin">
        <x:color rgb="FFB8C8CF"/>
      </x:top>
    </x:border>
    <x:border>
      <x:left style="thin">
        <x:color rgb="FFB8C8CF"/>
      </x:left>
    </x:border>
    <x:border>
      <x:right style="thin">
        <x:color rgb="FFB8C8CF"/>
      </x:right>
    </x:border>
    <x:border>
      <x:left style="thin">
        <x:color rgb="FFB8C8CF"/>
      </x:left>
      <x:bottom style="thin">
        <x:color rgb="FFB8C8CF"/>
      </x:bottom>
    </x:border>
    <x:border>
      <x:bottom style="thin">
        <x:color rgb="FFB8C8CF"/>
      </x:bottom>
    </x:border>
    <x:border>
      <x:right style="thin">
        <x:color rgb="FFB8C8CF"/>
      </x:right>
      <x:bottom style="thin">
        <x:color rgb="FFB8C8CF"/>
      </x:bottom>
    </x:border>
  </x:borders>
  <x:cellStyleXfs count="1">
    <x:xf numFmtId="0" fontId="0" fillId="0" borderId="0"/>
  </x:cellStyleXfs>
  <x:cellXfs count="7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vertical="center"/>
    </x:xf>
    <x:xf numFmtId="0" fontId="5" fillId="0" borderId="0" xfId="0" applyNumberFormat="1" applyFont="1" applyFill="1" applyBorder="1"/>
    <x:xf numFmtId="0" fontId="5" fillId="0" borderId="1"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6" borderId="1" xfId="0" applyNumberFormat="1" applyFont="1" applyFill="1" applyBorder="1"/>
    <x:xf numFmtId="0" fontId="5" fillId="6" borderId="3" xfId="0" applyNumberFormat="1" applyFont="1" applyFill="1" applyBorder="1"/>
    <x:xf numFmtId="0" fontId="5" fillId="6" borderId="5" xfId="0" applyNumberFormat="1" applyFont="1" applyFill="1" applyBorder="1"/>
    <x:xf numFmtId="0" fontId="6" fillId="6" borderId="1" xfId="0" applyNumberFormat="1" applyFont="1" applyFill="1" applyBorder="1"/>
    <x:xf numFmtId="0" fontId="6" fillId="6" borderId="3" xfId="0" applyNumberFormat="1" applyFont="1" applyFill="1" applyBorder="1"/>
    <x:xf numFmtId="0" fontId="6" fillId="6" borderId="5" xfId="0" applyNumberFormat="1" applyFont="1" applyFill="1" applyBorder="1"/>
    <x:xf numFmtId="0" fontId="5" fillId="7" borderId="2" xfId="0" applyNumberFormat="1" applyFont="1" applyFill="1" applyBorder="1"/>
    <x:xf numFmtId="0" fontId="5" fillId="7" borderId="4" xfId="0" applyNumberFormat="1" applyFont="1" applyFill="1" applyBorder="1"/>
    <x:xf numFmtId="0" fontId="5" fillId="7" borderId="6" xfId="0" applyNumberFormat="1" applyFont="1" applyFill="1" applyBorder="1"/>
    <x:xf numFmtId="0" fontId="7" fillId="7" borderId="2" xfId="0" applyNumberFormat="1" applyFont="1" applyFill="1" applyBorder="1"/>
    <x:xf numFmtId="0" fontId="7" fillId="7" borderId="4" xfId="0" applyNumberFormat="1" applyFont="1" applyFill="1" applyBorder="1"/>
    <x:xf numFmtId="0" fontId="7" fillId="7" borderId="6" xfId="0" applyNumberFormat="1" applyFont="1" applyFill="1" applyBorder="1"/>
    <x:xf numFmtId="200" fontId="7" fillId="7" borderId="2" xfId="0" applyNumberFormat="1" applyFont="1" applyFill="1" applyBorder="1"/>
    <x:xf numFmtId="200" fontId="7" fillId="7" borderId="4" xfId="0" applyNumberFormat="1" applyFont="1" applyFill="1" applyBorder="1"/>
    <x:xf numFmtId="200" fontId="7" fillId="7" borderId="6" xfId="0" applyNumberFormat="1" applyFont="1" applyFill="1" applyBorder="1"/>
    <x:xf numFmtId="200" fontId="7" fillId="7" borderId="2" xfId="0" applyNumberFormat="1" applyFont="1" applyFill="1" applyBorder="1" applyAlignment="1">
      <x:alignment horizontal="right"/>
    </x:xf>
    <x:xf numFmtId="200" fontId="7" fillId="7" borderId="4" xfId="0" applyNumberFormat="1" applyFont="1" applyFill="1" applyBorder="1" applyAlignment="1">
      <x:alignment horizontal="right"/>
    </x:xf>
    <x:xf numFmtId="200" fontId="7" fillId="7" borderId="6" xfId="0" applyNumberFormat="1" applyFont="1" applyFill="1" applyBorder="1" applyAlignment="1">
      <x:alignment horizontal="right"/>
    </x:xf>
    <x:xf numFmtId="0" fontId="0" fillId="8" borderId="0" xfId="0" applyNumberFormat="1" applyFont="1" applyFill="1" applyBorder="1"/>
    <x:xf numFmtId="0" fontId="8" fillId="8" borderId="0" xfId="0" applyNumberFormat="1" applyFont="1" applyFill="1" applyBorder="1"/>
    <x:xf numFmtId="0" fontId="0" fillId="9" borderId="0" xfId="0" applyNumberFormat="1" applyFont="1" applyFill="1" applyBorder="1"/>
    <x:xf numFmtId="0" fontId="9" fillId="9" borderId="0" xfId="0" applyNumberFormat="1" applyFont="1" applyFill="1" applyBorder="1"/>
    <x:xf numFmtId="0" fontId="9" fillId="9" borderId="7" xfId="0" applyNumberFormat="1" applyFont="1" applyFill="1" applyBorder="1"/>
    <x:xf numFmtId="0" fontId="9" fillId="9" borderId="8" xfId="0" applyNumberFormat="1" applyFont="1" applyFill="1" applyBorder="1"/>
    <x:xf numFmtId="0" fontId="9" fillId="9" borderId="9" xfId="0" applyNumberFormat="1" applyFont="1" applyFill="1" applyBorder="1"/>
    <x:xf numFmtId="0" fontId="9" fillId="9" borderId="10" xfId="0" applyNumberFormat="1" applyFont="1" applyFill="1" applyBorder="1"/>
    <x:xf numFmtId="0" fontId="9" fillId="9" borderId="11" xfId="0" applyNumberFormat="1" applyFont="1" applyFill="1" applyBorder="1"/>
    <x:xf numFmtId="0" fontId="9" fillId="9" borderId="12" xfId="0" applyNumberFormat="1" applyFont="1" applyFill="1" applyBorder="1"/>
    <x:xf numFmtId="0" fontId="9" fillId="9" borderId="13" xfId="0" applyNumberFormat="1" applyFont="1" applyFill="1" applyBorder="1"/>
    <x:xf numFmtId="0" fontId="9" fillId="9" borderId="14" xfId="0" applyNumberFormat="1" applyFont="1" applyFill="1" applyBorder="1"/>
    <x:xf numFmtId="0" fontId="9" fillId="9" borderId="7" xfId="0" applyNumberFormat="1" applyFont="1" applyFill="1" applyBorder="1" applyAlignment="1">
      <x:alignment wrapText="1"/>
    </x:xf>
    <x:xf numFmtId="0" fontId="9" fillId="9" borderId="8" xfId="0" applyNumberFormat="1" applyFont="1" applyFill="1" applyBorder="1" applyAlignment="1">
      <x:alignment wrapText="1"/>
    </x:xf>
    <x:xf numFmtId="0" fontId="9" fillId="9" borderId="9" xfId="0" applyNumberFormat="1" applyFont="1" applyFill="1" applyBorder="1" applyAlignment="1">
      <x:alignment wrapText="1"/>
    </x:xf>
    <x:xf numFmtId="0" fontId="9" fillId="9" borderId="10" xfId="0" applyNumberFormat="1" applyFont="1" applyFill="1" applyBorder="1" applyAlignment="1">
      <x:alignment wrapText="1"/>
    </x:xf>
    <x:xf numFmtId="0" fontId="9" fillId="9" borderId="0" xfId="0" applyNumberFormat="1" applyFont="1" applyFill="1" applyBorder="1" applyAlignment="1">
      <x:alignment wrapText="1"/>
    </x:xf>
    <x:xf numFmtId="0" fontId="9" fillId="9" borderId="11" xfId="0" applyNumberFormat="1" applyFont="1" applyFill="1" applyBorder="1" applyAlignment="1">
      <x:alignment wrapText="1"/>
    </x:xf>
    <x:xf numFmtId="0" fontId="9" fillId="9" borderId="12" xfId="0" applyNumberFormat="1" applyFont="1" applyFill="1" applyBorder="1" applyAlignment="1">
      <x:alignment wrapText="1"/>
    </x:xf>
    <x:xf numFmtId="0" fontId="9" fillId="9" borderId="13" xfId="0" applyNumberFormat="1" applyFont="1" applyFill="1" applyBorder="1" applyAlignment="1">
      <x:alignment wrapText="1"/>
    </x:xf>
    <x:xf numFmtId="0" fontId="9" fillId="9" borderId="14" xfId="0" applyNumberFormat="1" applyFont="1" applyFill="1" applyBorder="1" applyAlignment="1">
      <x:alignment wrapText="1"/>
    </x:xf>
    <x:xf numFmtId="0" fontId="9" fillId="9" borderId="7" xfId="0" applyNumberFormat="1" applyFont="1" applyFill="1" applyBorder="1" applyAlignment="1">
      <x:alignment vertical="top" wrapText="1"/>
    </x:xf>
    <x:xf numFmtId="0" fontId="9" fillId="9" borderId="8" xfId="0" applyNumberFormat="1" applyFont="1" applyFill="1" applyBorder="1" applyAlignment="1">
      <x:alignment vertical="top" wrapText="1"/>
    </x:xf>
    <x:xf numFmtId="0" fontId="9" fillId="9" borderId="9" xfId="0" applyNumberFormat="1" applyFont="1" applyFill="1" applyBorder="1" applyAlignment="1">
      <x:alignment vertical="top" wrapText="1"/>
    </x:xf>
    <x:xf numFmtId="0" fontId="9" fillId="9" borderId="10"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1"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9" fillId="9" borderId="13" xfId="0" applyNumberFormat="1" applyFont="1" applyFill="1" applyBorder="1" applyAlignment="1">
      <x:alignment vertical="top" wrapText="1"/>
    </x:xf>
    <x:xf numFmtId="0" fontId="9" fillId="9" borderId="14" xfId="0" applyNumberFormat="1" applyFont="1" applyFill="1" applyBorder="1" applyAlignment="1">
      <x:alignment vertical="top" wrapText="1"/>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cellXfs>
  <x:cellStyles count="1">
    <x:cellStyle name="Normal" xfId="0"/>
  </x:cellStyles>
  <x:dxfs count="6">
    <x:dxf>
      <x:font>
        <x:b/>
        <x:color rgb="FF176B3A"/>
      </x:font>
      <x:fill>
        <x:patternFill patternType="solid">
          <x:bgColor rgb="FFDDF3E4"/>
        </x:patternFill>
      </x:fill>
    </x:dxf>
    <x:dxf>
      <x:font>
        <x:color rgb="FF7A4B00"/>
      </x:font>
      <x:fill>
        <x:patternFill patternType="solid">
          <x:bgColor rgb="FFFFF3D6"/>
        </x:patternFill>
      </x:fill>
    </x:dxf>
    <x:dxf>
      <x:font>
        <x:b/>
        <x:color rgb="FF176B3A"/>
      </x:font>
      <x:fill>
        <x:patternFill patternType="solid">
          <x:bgColor rgb="FFDDF3E4"/>
        </x:patternFill>
      </x:fill>
    </x:dxf>
    <x:dxf>
      <x:font>
        <x:color rgb="FF7A4B00"/>
      </x:font>
      <x:fill>
        <x:patternFill patternType="solid">
          <x:bgColor rgb="FFFFF3D6"/>
        </x:patternFill>
      </x:fill>
    </x:dxf>
    <x:dxf>
      <x:font>
        <x:b/>
        <x:color rgb="FF176B3A"/>
      </x:font>
      <x:fill>
        <x:patternFill patternType="solid">
          <x:bgColor rgb="FFDDF3E4"/>
        </x:patternFill>
      </x:fill>
    </x:dxf>
    <x:dxf>
      <x:font>
        <x:color rgb="FF7A4B00"/>
      </x:font>
      <x:fill>
        <x:patternFill patternType="solid">
          <x:bgColor rgb="FFFFF3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f5e817e1544b36" /><Relationship Type="http://schemas.openxmlformats.org/officeDocument/2006/relationships/theme" Target="/xl/theme/theme1.xml" Id="R2c15e2709d8c421d" /><Relationship Type="http://schemas.openxmlformats.org/officeDocument/2006/relationships/sharedStrings" Target="/xl/sharedStrings.xml" Id="R137f440390214d20" /><Relationship Type="http://schemas.openxmlformats.org/officeDocument/2006/relationships/worksheet" Target="/xl/worksheets/sheet1.xml" Id="R6d1d0194b2f64071" /><Relationship Type="http://schemas.openxmlformats.org/officeDocument/2006/relationships/worksheet" Target="/xl/worksheets/sheet2.xml" Id="R13b8543f09574311" /><Relationship Type="http://schemas.openxmlformats.org/officeDocument/2006/relationships/worksheet" Target="/xl/worksheets/sheet3.xml" Id="R9db79f92fc334d78" /><Relationship Type="http://schemas.openxmlformats.org/officeDocument/2006/relationships/worksheet" Target="/xl/worksheets/sheet4.xml" Id="Ree90d25769fa49b9" /></Relationships>
</file>

<file path=xl/tables/table1.xml><?xml version="1.0" encoding="utf-8"?>
<x:table xmlns:x="http://schemas.openxmlformats.org/spreadsheetml/2006/main" id="1" name="TierAData" displayName="TierAData" ref="A1:W96" headerRowCount="1" totalsRowCount="0" totalsRowShown="0">
  <x:autoFilter ref="A1:W96"/>
  <x:tableColumns count="23">
    <x:tableColumn id="1" name="evidence_tier"/>
    <x:tableColumn id="2" name="corpus_id"/>
    <x:tableColumn id="3" name="title"/>
    <x:tableColumn id="4" name="authors"/>
    <x:tableColumn id="5" name="year"/>
    <x:tableColumn id="6" name="source_title_or_issuer"/>
    <x:tableColumn id="7" name="document_type"/>
    <x:tableColumn id="8" name="doi"/>
    <x:tableColumn id="9" name="url"/>
    <x:tableColumn id="10" name="screening_text"/>
    <x:tableColumn id="11" name="access"/>
    <x:tableColumn id="12" name="access_type"/>
    <x:tableColumn id="13" name="access_url"/>
    <x:tableColumn id="14" name="document_verification_status"/>
    <x:tableColumn id="15" name="tier_b_reason_code"/>
    <x:tableColumn id="16" name="model_confidence"/>
    <x:tableColumn id="17" name="organism_evidence"/>
    <x:tableColumn id="18" name="stressor_evidence"/>
    <x:tableColumn id="19" name="response_or_assessment_evidence"/>
    <x:tableColumn id="20" name="tier_b_basis"/>
    <x:tableColumn id="21" name="model_rationale"/>
    <x:tableColumn id="22" name="selection_basis"/>
    <x:tableColumn id="23" name="source_record_id"/>
  </x:tableColumns>
  <x:tableStyleInfo name="TableStyleMedium2" showFirstColumn="0" showLastColumn="0" showRowStripes="1" showColumnStripes="0"/>
</x:table>
</file>

<file path=xl/tables/table2.xml><?xml version="1.0" encoding="utf-8"?>
<x:table xmlns:x="http://schemas.openxmlformats.org/spreadsheetml/2006/main" id="2" name="TierBData" displayName="TierBData" ref="A1:W167" headerRowCount="1" totalsRowCount="0" totalsRowShown="0">
  <x:autoFilter ref="A1:W167"/>
  <x:tableColumns count="23">
    <x:tableColumn id="1" name="evidence_tier"/>
    <x:tableColumn id="2" name="corpus_id"/>
    <x:tableColumn id="3" name="title"/>
    <x:tableColumn id="4" name="authors"/>
    <x:tableColumn id="5" name="year"/>
    <x:tableColumn id="6" name="source_title_or_issuer"/>
    <x:tableColumn id="7" name="document_type"/>
    <x:tableColumn id="8" name="doi"/>
    <x:tableColumn id="9" name="url"/>
    <x:tableColumn id="10" name="screening_text"/>
    <x:tableColumn id="11" name="access"/>
    <x:tableColumn id="12" name="access_type"/>
    <x:tableColumn id="13" name="access_url"/>
    <x:tableColumn id="14" name="document_verification_status"/>
    <x:tableColumn id="15" name="tier_b_reason_code"/>
    <x:tableColumn id="16" name="model_confidence"/>
    <x:tableColumn id="17" name="organism_evidence"/>
    <x:tableColumn id="18" name="stressor_evidence"/>
    <x:tableColumn id="19" name="response_or_assessment_evidence"/>
    <x:tableColumn id="20" name="tier_b_basis"/>
    <x:tableColumn id="21" name="model_rationale"/>
    <x:tableColumn id="22" name="selection_basis"/>
    <x:tableColumn id="23" name="source_record_id"/>
  </x:tableColumns>
  <x:tableStyleInfo name="TableStyleMedium2" showFirstColumn="0" showLastColumn="0" showRowStripes="1" showColumnStripes="0"/>
</x:table>
</file>

<file path=xl/tables/table3.xml><?xml version="1.0" encoding="utf-8"?>
<x:table xmlns:x="http://schemas.openxmlformats.org/spreadsheetml/2006/main" id="3" name="CombinedData" displayName="CombinedData" ref="A1:W262" headerRowCount="1" totalsRowCount="0" totalsRowShown="0">
  <x:autoFilter ref="A1:W262"/>
  <x:tableColumns count="23">
    <x:tableColumn id="1" name="evidence_tier"/>
    <x:tableColumn id="2" name="corpus_id"/>
    <x:tableColumn id="3" name="title"/>
    <x:tableColumn id="4" name="authors"/>
    <x:tableColumn id="5" name="year"/>
    <x:tableColumn id="6" name="source_title_or_issuer"/>
    <x:tableColumn id="7" name="document_type"/>
    <x:tableColumn id="8" name="doi"/>
    <x:tableColumn id="9" name="url"/>
    <x:tableColumn id="10" name="screening_text"/>
    <x:tableColumn id="11" name="access"/>
    <x:tableColumn id="12" name="access_type"/>
    <x:tableColumn id="13" name="access_url"/>
    <x:tableColumn id="14" name="document_verification_status"/>
    <x:tableColumn id="15" name="tier_b_reason_code"/>
    <x:tableColumn id="16" name="model_confidence"/>
    <x:tableColumn id="17" name="organism_evidence"/>
    <x:tableColumn id="18" name="stressor_evidence"/>
    <x:tableColumn id="19" name="response_or_assessment_evidence"/>
    <x:tableColumn id="20" name="tier_b_basis"/>
    <x:tableColumn id="21" name="model_rationale"/>
    <x:tableColumn id="22" name="selection_basis"/>
    <x:tableColumn id="23" name="source_recor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971cfd7c3d14f32" /></Relationships>
</file>

<file path=xl/worksheets/_rels/sheet3.xml.rels>&#65279;<?xml version="1.0" encoding="utf-8"?><Relationships xmlns="http://schemas.openxmlformats.org/package/2006/relationships"><Relationship Type="http://schemas.openxmlformats.org/officeDocument/2006/relationships/table" Target="/xl/tables/table2.xml" Id="R6ac8fd9cce164cfb" /></Relationships>
</file>

<file path=xl/worksheets/_rels/sheet4.xml.rels>&#65279;<?xml version="1.0" encoding="utf-8"?><Relationships xmlns="http://schemas.openxmlformats.org/package/2006/relationships"><Relationship Type="http://schemas.openxmlformats.org/officeDocument/2006/relationships/table" Target="/xl/tables/table3.xml" Id="R1e753a24ff644846"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4" hidden="0" customWidth="1"/>
    <x:col min="4" max="4" width="22" hidden="0" customWidth="1"/>
    <x:col min="5" max="5" width="22" hidden="0" customWidth="1"/>
    <x:col min="6" max="6" width="22" hidden="0" customWidth="1"/>
  </x:cols>
  <x:sheetData>
    <x:row r="1" ht="34" customHeight="1">
      <x:c r="A1" s="20" t="str">
        <x:v>Cold-water coral and sponge sedimentation evidence corpus</x:v>
      </x:c>
      <x:c r="B1" s="20"/>
      <x:c r="C1" s="20"/>
      <x:c r="D1" s="20"/>
      <x:c r="E1" s="20"/>
      <x:c r="F1" s="20"/>
    </x:row>
    <x:row r="3">
      <x:c r="A3" s="31" t="str">
        <x:v>Tier A records</x:v>
      </x:c>
      <x:c r="B3" s="43" t="n">
        <x:f>COUNTA('Tier A'!$B$2:$B$96)</x:f>
        <x:v>95</x:v>
      </x:c>
      <x:c r="D3" s="47" t="str">
        <x:v>Selection notes</x:v>
      </x:c>
      <x:c r="E3" s="47"/>
      <x:c r="F3" s="47"/>
    </x:row>
    <x:row r="4" ht="24" customHeight="1">
      <x:c r="A4" s="32" t="str">
        <x:v>Tier B records</x:v>
      </x:c>
      <x:c r="B4" s="44" t="n">
        <x:f>COUNTA('Tier B'!$B$2:$B$167)</x:f>
        <x:v>166</x:v>
      </x:c>
      <x:c r="D4" s="67" t="str">
        <x:v>Tier A remains locked. Tier B includes verified model-positive documents, prioritizes cold/deep and CSAS evidence, and caps tropical physical-sediment analogues at 25. Citation-chain-only, uncertain, excluded, duplicate, and unresolved truncated-title records are not included in either RIS export.</x:v>
      </x:c>
      <x:c r="E4" s="68"/>
      <x:c r="F4" s="69"/>
    </x:row>
    <x:row r="5" ht="24" customHeight="1">
      <x:c r="A5" s="32" t="str">
        <x:v>Combined records</x:v>
      </x:c>
      <x:c r="B5" s="44" t="n">
        <x:f>B3+B4</x:f>
        <x:v>261</x:v>
      </x:c>
      <x:c r="D5" s="70"/>
      <x:c r="E5" s="71"/>
      <x:c r="F5" s="72"/>
    </x:row>
    <x:row r="6" ht="24" customHeight="1">
      <x:c r="A6" s="32" t="str">
        <x:v>Tier B access confirmed</x:v>
      </x:c>
      <x:c r="B6" s="44" t="n">
        <x:f>COUNTIF('Tier B'!$K$2:$K$167,"YES")</x:f>
        <x:v>104</x:v>
      </x:c>
      <x:c r="D6" s="70"/>
      <x:c r="E6" s="71"/>
      <x:c r="F6" s="72"/>
    </x:row>
    <x:row r="7" ht="24" customHeight="1">
      <x:c r="A7" s="32" t="str">
        <x:v>Tropical physical analogues</x:v>
      </x:c>
      <x:c r="B7" s="44" t="n">
        <x:f>COUNTIF('Tier B'!$O$2:$O$167,"B04_TROPICAL_PHYSICAL_SEDIMENT_ANALOGUE")</x:f>
        <x:v>25</x:v>
      </x:c>
      <x:c r="D7" s="70"/>
      <x:c r="E7" s="71"/>
      <x:c r="F7" s="72"/>
    </x:row>
    <x:row r="8" ht="24" customHeight="1">
      <x:c r="A8" s="32" t="str">
        <x:v>Verified Tier B documents</x:v>
      </x:c>
      <x:c r="B8" s="44" t="n">
        <x:f>B4</x:f>
        <x:v>166</x:v>
      </x:c>
      <x:c r="D8" s="70"/>
      <x:c r="E8" s="71"/>
      <x:c r="F8" s="72"/>
    </x:row>
    <x:row r="9" ht="24" customHeight="1">
      <x:c r="A9" s="32" t="str">
        <x:v>CSAS-priority Tier B documents</x:v>
      </x:c>
      <x:c r="B9" s="44" t="n">
        <x:f>COUNTIF('Tier B'!$V$2:$V$167,"ALL_VERIFIED_CSAS")</x:f>
        <x:v>12</x:v>
      </x:c>
      <x:c r="D9" s="73"/>
      <x:c r="E9" s="74"/>
      <x:c r="F9" s="75"/>
    </x:row>
    <x:row r="10">
      <x:c r="A10" s="33" t="str">
        <x:v>DeepSeek tokens used</x:v>
      </x:c>
      <x:c r="B10" s="45" t="n">
        <x:v>5389830</x:v>
      </x:c>
    </x:row>
    <x:row r="12">
      <x:c r="A12" s="78" t="str">
        <x:v>Use the Combined sheet or the combined RIS for Covidence. The Tier B sheet retains the model evidence and selection basis for auditability.</x:v>
      </x:c>
      <x:c r="B12" s="78"/>
      <x:c r="C12" s="78"/>
      <x:c r="D12" s="78"/>
      <x:c r="E12" s="78"/>
      <x:c r="F12" s="78"/>
    </x:row>
  </x:sheetData>
  <x:mergeCells>
    <x:mergeCell ref="A1:F1"/>
    <x:mergeCell ref="D3:F3"/>
    <x:mergeCell ref="D4:F9"/>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48" hidden="0" customWidth="1"/>
    <x:col min="4" max="4" width="42" hidden="0" customWidth="1"/>
    <x:col min="5" max="5" width="9" hidden="0" customWidth="1"/>
    <x:col min="6" max="6" width="30" hidden="0" customWidth="1"/>
    <x:col min="7" max="7" width="20" hidden="0" customWidth="1"/>
    <x:col min="8" max="8" width="26" hidden="0" customWidth="1"/>
    <x:col min="9" max="9" width="38" hidden="0" customWidth="1"/>
    <x:col min="10" max="10" width="68" hidden="0" customWidth="1"/>
    <x:col min="11" max="11" width="10" hidden="0" customWidth="1"/>
    <x:col min="12" max="12" width="20" hidden="0" customWidth="1"/>
    <x:col min="13" max="13" width="38" hidden="0" customWidth="1"/>
    <x:col min="14" max="14" width="30" hidden="0" customWidth="1"/>
    <x:col min="15" max="15" width="34" hidden="0" customWidth="1"/>
    <x:col min="16" max="16" width="14" hidden="0" customWidth="1"/>
    <x:col min="17" max="17" width="48" hidden="0" customWidth="1"/>
    <x:col min="18" max="18" width="48" hidden="0" customWidth="1"/>
    <x:col min="19" max="19" width="48" hidden="0" customWidth="1"/>
    <x:col min="20" max="20" width="52" hidden="0" customWidth="1"/>
    <x:col min="21" max="21" width="58" hidden="0" customWidth="1"/>
    <x:col min="22" max="22" width="42" hidden="0" customWidth="1"/>
    <x:col min="23" max="23" width="16" hidden="0" customWidth="1"/>
  </x:cols>
  <x:sheetData>
    <x:row r="1" ht="34" customHeight="1">
      <x:c r="A1" s="6" t="str">
        <x:v>evidence_tier</x:v>
      </x:c>
      <x:c r="B1" s="6" t="str">
        <x:v>corpus_id</x:v>
      </x:c>
      <x:c r="C1" s="6" t="str">
        <x:v>title</x:v>
      </x:c>
      <x:c r="D1" s="6" t="str">
        <x:v>authors</x:v>
      </x:c>
      <x:c r="E1" s="6" t="str">
        <x:v>year</x:v>
      </x:c>
      <x:c r="F1" s="6" t="str">
        <x:v>source_title_or_issuer</x:v>
      </x:c>
      <x:c r="G1" s="6" t="str">
        <x:v>document_type</x:v>
      </x:c>
      <x:c r="H1" s="6" t="str">
        <x:v>doi</x:v>
      </x:c>
      <x:c r="I1" s="6" t="str">
        <x:v>url</x:v>
      </x:c>
      <x:c r="J1" s="6" t="str">
        <x:v>screening_text</x:v>
      </x:c>
      <x:c r="K1" s="6" t="str">
        <x:v>access</x:v>
      </x:c>
      <x:c r="L1" s="6" t="str">
        <x:v>access_type</x:v>
      </x:c>
      <x:c r="M1" s="6" t="str">
        <x:v>access_url</x:v>
      </x:c>
      <x:c r="N1" s="6" t="str">
        <x:v>document_verification_status</x:v>
      </x:c>
      <x:c r="O1" s="6" t="str">
        <x:v>tier_b_reason_code</x:v>
      </x:c>
      <x:c r="P1" s="6" t="str">
        <x:v>model_confidence</x:v>
      </x:c>
      <x:c r="Q1" s="6" t="str">
        <x:v>organism_evidence</x:v>
      </x:c>
      <x:c r="R1" s="6" t="str">
        <x:v>stressor_evidence</x:v>
      </x:c>
      <x:c r="S1" s="6" t="str">
        <x:v>response_or_assessment_evidence</x:v>
      </x:c>
      <x:c r="T1" s="6" t="str">
        <x:v>tier_b_basis</x:v>
      </x:c>
      <x:c r="U1" s="6" t="str">
        <x:v>model_rationale</x:v>
      </x:c>
      <x:c r="V1" s="6" t="str">
        <x:v>selection_basis</x:v>
      </x:c>
      <x:c r="W1" s="6" t="str">
        <x:v>source_record_id</x:v>
      </x:c>
    </x:row>
    <x:row r="2" ht="42" customHeight="1">
      <x:c r="A2" s="10" t="str">
        <x:v>A</x:v>
      </x:c>
      <x:c r="B2" s="7" t="str">
        <x:v>CWC-59CF454EFFD7</x:v>
      </x:c>
      <x:c r="C2" s="7" t="str">
        <x:v>Respiratory responses of three Antarctic ascidians and a sea pen to increased sediment concentrations</x:v>
      </x:c>
      <x:c r="D2" s="7" t="str">
        <x:v>Luciana Torre | Natalia Servetto | Matias Leonel Eöry | Fernando Momo | Marcos Tatián | Doris Abele | Ricardo Sahade</x:v>
      </x:c>
      <x:c r="E2" s="11" t="str">
        <x:v>2012</x:v>
      </x:c>
      <x:c r="F2" s="7" t="str">
        <x:v>Polar Biology</x:v>
      </x:c>
      <x:c r="G2" s="7" t="str">
        <x:v>article</x:v>
      </x:c>
      <x:c r="H2" s="7" t="str">
        <x:v>10.1007/s00300-012-1208-1</x:v>
      </x:c>
      <x:c r="I2" s="7" t="str">
        <x:v>https://doi.org/10.1007/s00300-012-1208-1</x:v>
      </x:c>
      <x:c r="J2" s="7" t="str">
        <x:v>Glacial retreat and subglacial bedrock erosion are consequences of rapid regional warming on the West Antarctic Peninsula. Sedimentation of fine-grained eroded particles can impact the physiology of filter-feeding benthic organisms. We investigated the effect of increasing concentrations of sediment on the oxygen consumption of suspension feeding species, the ascidians Molgula pedunculata, Cnemidocarpa verrucosa, Ascidia challengeri, and the pennatulid Malacobelemnon daytoni in Potter Cove (South Shetland Islands, Antarctica). In A. challengeri and C. verrucosa, oxygen consumption increased gradually up to a critical sediment concentration (C (crit)) where species oxygen consumption was maximal (O (max) in mg O-2 g(-1)dm day(-1)) and further addition of sediments decreased respiration. C (crit) was 200 mg L-1 for A. challengeri (O (max) of 0.651 +/- A 0.238) and between 100 and 200 mg L-1 for C. verrucosa (O (max) of 0.898 +/- A 0.582). Oxygen consumption of M. pedunculata increased significantly even at low sediment concentrations (15-50 mg sediment L-1). Contrary to the ascidians, sediment exposure did not affect oxygen consumption of the sea pen. The tiered response to sedimentation in the four species corroborates recent field observations that detected a reduction in the abundance of the sensitive ascidian M. pedunculata from areas strongly affected by glacial sediment discharge, whereas sea pens are increasing in abundance. Our investigation relates consequences (population shifts in filter-feeder communities) to causes (glacial retreat) and is of importance for modelling of climate change effects in Antarctic shallow coastal areas.</x:v>
      </x:c>
      <x:c r="K2" s="11" t="str">
        <x:v>NO</x:v>
      </x:c>
      <x:c r="L2" s="7" t="str">
        <x:v>NOT_CONFIRMED</x:v>
      </x:c>
      <x:c r="M2" s="7" t="str"/>
      <x:c r="N2" s="7" t="str">
        <x:v>VERIFIED_BIBLIOGRAPHIC_DOCUMENT</x:v>
      </x:c>
      <x:c r="O2" s="7" t="str"/>
      <x:c r="P2" s="11" t="str"/>
      <x:c r="Q2" s="7" t="str"/>
      <x:c r="R2" s="7" t="str"/>
      <x:c r="S2" s="7" t="str"/>
      <x:c r="T2" s="7" t="str"/>
      <x:c r="U2" s="7" t="str"/>
      <x:c r="V2" s="7" t="str">
        <x:v>PRODUCTION_CORE_INCLUDE</x:v>
      </x:c>
      <x:c r="W2" s="7" t="str">
        <x:v>PROD-00002</x:v>
      </x:c>
    </x:row>
    <x:row r="3" ht="42" customHeight="1">
      <x:c r="A3" s="10" t="str">
        <x:v>A</x:v>
      </x:c>
      <x:c r="B3" s="7" t="str">
        <x:v>CWC-85AD31107177</x:v>
      </x:c>
      <x:c r="C3" s="7" t="str">
        <x:v>Mutualism between the antipatharian Antipathes fiordensis and the ophiuroid Astrobrachion constrictum in New Zealand fjords</x:v>
      </x:c>
      <x:c r="D3" s="7" t="str">
        <x:v>K. R. Grange</x:v>
      </x:c>
      <x:c r="E3" s="11" t="str">
        <x:v>1991</x:v>
      </x:c>
      <x:c r="F3" s="7" t="str">
        <x:v>Hydrobiologia</x:v>
      </x:c>
      <x:c r="G3" s="7" t="str">
        <x:v>article</x:v>
      </x:c>
      <x:c r="H3" s="7" t="str">
        <x:v>10.1007/bf00026478</x:v>
      </x:c>
      <x:c r="I3" s="7" t="str">
        <x:v>https://doi.org/10.1007/bf00026478</x:v>
      </x:c>
      <x:c r="J3" s="7" t="str">
        <x:v>A large and accessible population of the antipatharian Antipathes fiordensis occurs in the fjords of southern New Zealand. Many colonies support specimens of the perching asteroschematid ophiuroid, Astrobrachion constrictum, some of which have been observed in situ for over 5 y. Adult A. constrictum are restricted to A. fiordensis, and have never been found on any other organism. In situ experiments have shown that A. constrictum feeds at night, primarily on mucus produced by A. fiordensis polyps, but also on planktonic prey captured by the antipatharian's nematocysts. Feeding movements of the ophiuroid arms clear the antipatharian colony of suspended material that might smother the polyps. Observations following natural catastrophic events and transplant experiments have shown that survival of A. fiordensis is probably increased if A. constrictum is present.</x:v>
      </x:c>
      <x:c r="K3" s="11" t="str">
        <x:v>NO</x:v>
      </x:c>
      <x:c r="L3" s="7" t="str">
        <x:v>NOT_CONFIRMED</x:v>
      </x:c>
      <x:c r="M3" s="7" t="str"/>
      <x:c r="N3" s="7" t="str">
        <x:v>VERIFIED_BIBLIOGRAPHIC_DOCUMENT</x:v>
      </x:c>
      <x:c r="O3" s="7" t="str"/>
      <x:c r="P3" s="11" t="str"/>
      <x:c r="Q3" s="7" t="str"/>
      <x:c r="R3" s="7" t="str"/>
      <x:c r="S3" s="7" t="str"/>
      <x:c r="T3" s="7" t="str"/>
      <x:c r="U3" s="7" t="str"/>
      <x:c r="V3" s="7" t="str">
        <x:v>PRODUCTION_CORE_INCLUDE</x:v>
      </x:c>
      <x:c r="W3" s="7" t="str">
        <x:v>PROD-00018</x:v>
      </x:c>
    </x:row>
    <x:row r="4" ht="42" customHeight="1">
      <x:c r="A4" s="10" t="str">
        <x:v>A</x:v>
      </x:c>
      <x:c r="B4" s="7" t="str">
        <x:v>CWC-C1B7BB939BE8</x:v>
      </x:c>
      <x:c r="C4" s="7" t="str">
        <x:v>Identification of tolerance levels on the cold-water coral Desmophyllum pertusum (Lophelia pertusa) from realistic exposure conditions to suspended bentonite, barite and drill cutting particles</x:v>
      </x:c>
      <x:c r="D4" s="7" t="str">
        <x:v>Thierry Baussant | Maj Arnberg | Emily Lyng | Sreerekha Ramanand | Shaw Bamber | Mark Berry | Ingrid Myrnes Hansen | Dick van Oevelen | Peter van Breugel</x:v>
      </x:c>
      <x:c r="E4" s="11" t="str">
        <x:v>2022</x:v>
      </x:c>
      <x:c r="F4" s="7" t="str">
        <x:v>PLoS ONE</x:v>
      </x:c>
      <x:c r="G4" s="7" t="str">
        <x:v>article</x:v>
      </x:c>
      <x:c r="H4" s="7" t="str">
        <x:v>10.1371/journal.pone.0263061</x:v>
      </x:c>
      <x:c r="I4" s="7" t="str">
        <x:v>https://doi.org/10.1371/journal.pone.0263061</x:v>
      </x:c>
      <x:c r="J4" s="7" t="str">
        <x:v>Cold-water coral (CWC) reefs are numerous and widespread along the Norwegian continental shelf where oil and gas industry operate. Uncertainties exist regarding their impacts from operational discharges to drilling. Effect thresholds obtained from near-realistic exposure of suspended particle concentrations for use in coral risk modeling are particularly needed. Here, nubbins of Desmophyllum pertusum (Lophelia pertusa) were exposed shortly (5 days, 4h repeated pulses) to suspended particles (bentonite BE; barite BA, and drill cuttings DC) in the range of similar to 4 to similar to 60 mg.l(-1) (actual concentration). Physiological responses (respiration rate, growth rate, mucus-related particulate organic carbon OC and particulate organic nitrogen ON) and polyp mortality were then measured 2 and 6 weeks post-exposure to assess long-term effects. Respiration and growth rates were not significantly different in any of the treatments tested compared to control. OC production was not affected in any treatment, but a significant increase of OC:ON in mucus produced by BE-exposed (23 and 48 mg.l(-1)) corals was revealed 2 weeks after exposure. Polyp mortality increased significantly at the two highest DC doses (19 and 49 mg.l(-1)) 2 and 6 weeks post-exposure but no significant difference was observed in any of the other treatments compared to the control. These findings are adding new knowledge on coral resilience to short realistic exposure of suspended drill particles and indicate overall a risk for long-term effects at a threshold of similar to 20 mg.l(-1).</x:v>
      </x:c>
      <x:c r="K4" s="11" t="str">
        <x:v>YES</x:v>
      </x:c>
      <x:c r="L4" s="7" t="str">
        <x:v>FROZEN_PUBLIC_FULL_TEXT_LOCATION</x:v>
      </x:c>
      <x:c r="M4" s="7" t="str">
        <x:v>https://journals.plos.org/plosone/article/file?id=10.1371/journal.pone.0263061&amp;type=printable</x:v>
      </x:c>
      <x:c r="N4" s="7" t="str">
        <x:v>VERIFIED_BIBLIOGRAPHIC_DOCUMENT</x:v>
      </x:c>
      <x:c r="O4" s="7" t="str"/>
      <x:c r="P4" s="11" t="str"/>
      <x:c r="Q4" s="7" t="str"/>
      <x:c r="R4" s="7" t="str"/>
      <x:c r="S4" s="7" t="str"/>
      <x:c r="T4" s="7" t="str"/>
      <x:c r="U4" s="7" t="str"/>
      <x:c r="V4" s="7" t="str">
        <x:v>PRODUCTION_CORE_INCLUDE</x:v>
      </x:c>
      <x:c r="W4" s="7" t="str">
        <x:v>PROD-00027</x:v>
      </x:c>
    </x:row>
    <x:row r="5" ht="42" customHeight="1">
      <x:c r="A5" s="10" t="str">
        <x:v>A</x:v>
      </x:c>
      <x:c r="B5" s="7" t="str">
        <x:v>CWC-C69AD807E3BA</x:v>
      </x:c>
      <x:c r="C5" s="7" t="str">
        <x:v>Tolerance to long-term exposure of suspended benthic sediments and drill cuttings in the cold-water coral Lophelia pertusa</x:v>
      </x:c>
      <x:c r="D5" s="7" t="str">
        <x:v>Ann I. Larsson | Dick van Oevelen | Autun Purser | Laurenz Thomsen</x:v>
      </x:c>
      <x:c r="E5" s="11" t="str">
        <x:v>2013</x:v>
      </x:c>
      <x:c r="F5" s="7" t="str">
        <x:v>Marine Pollution Bulletin</x:v>
      </x:c>
      <x:c r="G5" s="7" t="str">
        <x:v>article</x:v>
      </x:c>
      <x:c r="H5" s="7" t="str">
        <x:v>10.1016/j.marpolbul.2013.02.033</x:v>
      </x:c>
      <x:c r="I5" s="7" t="str">
        <x:v>https://doi.org/10.1016/j.marpolbul.2013.02.033</x:v>
      </x:c>
      <x:c r="J5" s="7" t="str">
        <x:v>The cold-water coral Lophelia pertusa was exposed to suspended particles (&lt;63 mu m) for 12 weeks. Skeletal growth was significantly lower under exposure concentrations of similar to 25 mg l(-1) than similar to 5 mg l(-1) and there was a trend of lower growth rates when exposed to water-based drill cuttings than to natural benthic sediment. Polyp extension was less in corals exposed to higher material concentrations, which provides a possible explanation for observed skeletal growth differences between particle concentrations. Particle exposure had no significant impact on respiration or proportions of tissue and fatty acids in corals. The volume of additional cleaning mucus released by exposed corals was low and release did not significantly affect coral energy expenditure. Our results indicate that L. pertusa polyps can deal comparatively well with enhanced particle deposition rates and suspended matter concentrations. However, a small pilot experiment indicated that coral larvae might be particularly vulnerable to high particle concentrations. (c) 2013 Elsevier Ltd. All rights reserved.</x:v>
      </x:c>
      <x:c r="K5" s="11" t="str">
        <x:v>NO</x:v>
      </x:c>
      <x:c r="L5" s="7" t="str">
        <x:v>NOT_CONFIRMED</x:v>
      </x:c>
      <x:c r="M5" s="7" t="str"/>
      <x:c r="N5" s="7" t="str">
        <x:v>VERIFIED_BIBLIOGRAPHIC_DOCUMENT</x:v>
      </x:c>
      <x:c r="O5" s="7" t="str"/>
      <x:c r="P5" s="11" t="str"/>
      <x:c r="Q5" s="7" t="str"/>
      <x:c r="R5" s="7" t="str"/>
      <x:c r="S5" s="7" t="str"/>
      <x:c r="T5" s="7" t="str"/>
      <x:c r="U5" s="7" t="str"/>
      <x:c r="V5" s="7" t="str">
        <x:v>PRODUCTION_CORE_INCLUDE</x:v>
      </x:c>
      <x:c r="W5" s="7" t="str">
        <x:v>PROD-00028</x:v>
      </x:c>
    </x:row>
    <x:row r="6" ht="42" customHeight="1">
      <x:c r="A6" s="10" t="str">
        <x:v>A</x:v>
      </x:c>
      <x:c r="B6" s="7" t="str">
        <x:v>CWC-F69FB12668AB</x:v>
      </x:c>
      <x:c r="C6" s="7" t="str">
        <x:v>Direct Visualization of Mucus Production by the Cold-Water Coral Lophelia pertusa with Digital Holographic Microscopy</x:v>
      </x:c>
      <x:c r="D6" s="7" t="str">
        <x:v>Eva‐Maria Zetsche | Thierry Baussant | Filip J. R. Meysman | Dick van Oevelen</x:v>
      </x:c>
      <x:c r="E6" s="11" t="str">
        <x:v>2016</x:v>
      </x:c>
      <x:c r="F6" s="7" t="str">
        <x:v>PLoS ONE</x:v>
      </x:c>
      <x:c r="G6" s="7" t="str">
        <x:v>article</x:v>
      </x:c>
      <x:c r="H6" s="7" t="str">
        <x:v>10.1371/journal.pone.0146766</x:v>
      </x:c>
      <x:c r="I6" s="7" t="str">
        <x:v>https://doi.org/10.1371/journal.pone.0146766</x:v>
      </x:c>
      <x:c r="J6" s="7" t="str">
        <x:v>Lophelia pertusa is the dominant reef-building organism of cold-water coral reefs, and is known to produce significant amounts of mucus, which could involve an important metabolic cost. Mucus is involved in particle removal and feeding processes, yet the triggers and dynamics of mucus production are currently still poorly described because the existing tools to study these processes are not appropriate. Using a novel microscopic technique-digital holographic microscopy (DHM)-we studied the mucus release of L. pertusa under various experimental conditions. DHM technology permits mu m-scale observations and allows the visualization of transparent mucoid substances in real time without staining. Fragments of L. pertusa were first maintained in flow-through chambers without stressors and imaged with DHM, then exposed to various stressors (suspended particles, particulate food and air exposure) and re-imaged. Under non-stressed conditions no release of mucus was observed, whilst mucus strings and sheaths were produced in response to suspended particles (activated charcoal and drill cuttings sediment) i.e. in a stressed condition. Mucus strings and so-called 'string balls' were also observed in response to exposure to particulate food (brine shrimp Artemia salina). Upon air-exposure, mucus production was clearly visible once the fragments were returned to the flow chamber. Distinct optical properties such as optical path length difference (OPD) were measured with DHM in response to the various stimuli suggesting that different mucus types are produced by L. pertusa. Mucus produced to reject particles is similar in refractive index to the surrounding seawater, suggesting that the energy content of this mucus is low. In contrast, mucus produced in response to either food particle addition or air exposure had a higher refractive index, suggesting a higher metabolic investment in the production of these mucoid substances. This paper shows for the first time the potential of DHM technology for the detection, characterization and quantification of mucus production through OPD measurements in L. pertusa.</x:v>
      </x:c>
      <x:c r="K6" s="11" t="str">
        <x:v>YES</x:v>
      </x:c>
      <x:c r="L6" s="7" t="str">
        <x:v>FROZEN_PUBLIC_FULL_TEXT_LOCATION</x:v>
      </x:c>
      <x:c r="M6" s="7" t="str">
        <x:v>https://journals.plos.org/plosone/article/file?id=10.1371/journal.pone.0146766&amp;type=printable</x:v>
      </x:c>
      <x:c r="N6" s="7" t="str">
        <x:v>VERIFIED_BIBLIOGRAPHIC_DOCUMENT</x:v>
      </x:c>
      <x:c r="O6" s="7" t="str"/>
      <x:c r="P6" s="11" t="str"/>
      <x:c r="Q6" s="7" t="str"/>
      <x:c r="R6" s="7" t="str"/>
      <x:c r="S6" s="7" t="str"/>
      <x:c r="T6" s="7" t="str"/>
      <x:c r="U6" s="7" t="str"/>
      <x:c r="V6" s="7" t="str">
        <x:v>PRODUCTION_CORE_INCLUDE</x:v>
      </x:c>
      <x:c r="W6" s="7" t="str">
        <x:v>PROD-00029</x:v>
      </x:c>
    </x:row>
    <x:row r="7" ht="42" customHeight="1">
      <x:c r="A7" s="10" t="str">
        <x:v>A</x:v>
      </x:c>
      <x:c r="B7" s="7" t="str">
        <x:v>CWC-7A3BE9870A2A</x:v>
      </x:c>
      <x:c r="C7" s="7" t="str">
        <x:v>Sedimentation on the cold-water coral Lophelia pertusa: Cleaning efficiency from natural sediments and drill cuttings</x:v>
      </x:c>
      <x:c r="D7" s="7" t="str">
        <x:v>Ann I. Larsson | Autun Purser</x:v>
      </x:c>
      <x:c r="E7" s="11" t="str">
        <x:v>2011</x:v>
      </x:c>
      <x:c r="F7" s="7" t="str">
        <x:v>Marine Pollution Bulletin</x:v>
      </x:c>
      <x:c r="G7" s="7" t="str">
        <x:v>article</x:v>
      </x:c>
      <x:c r="H7" s="7" t="str">
        <x:v>10.1016/j.marpolbul.2011.03.041</x:v>
      </x:c>
      <x:c r="I7" s="7" t="str">
        <x:v>https://doi.org/10.1016/j.marpolbul.2011.03.041</x:v>
      </x:c>
      <x:c r="J7" s="7" t="str">
        <x:v>Anthropogenic threats to cold-water coral reefs are trawling and hydrocarbon drilling, with both activities causing increased levels of suspended particles. The efficiency of Lophelia pertusa in rejecting local sediments and drill cuttings from the coral surface was evaluated and found not to differ between sediment types. Further results showed that the coral efficiently removed deposited material even after repeated exposures, indicating an efficient cleaning mechanism. In an experiment focusing on burial, fine-fraction drill cuttings were deposited on corals over time. Drill cutting covered coral area increased with repeated depositions, with accumulation mainly occurring on and adjacent to regions of the coral skeleton lacking tissue cover. Tissue was smothered and polyp mortality occurred where polyps became wholly covered by material. Burial of coral by drill cuttings to the current threshold level used in environmental risk assessment models by the offshore industry (6.3 mm) may result in damage to L pertusa colonies. (C) 2011 Elsevier Ltd. All rights reserved.</x:v>
      </x:c>
      <x:c r="K7" s="11" t="str">
        <x:v>NO</x:v>
      </x:c>
      <x:c r="L7" s="7" t="str">
        <x:v>NOT_CONFIRMED</x:v>
      </x:c>
      <x:c r="M7" s="7" t="str"/>
      <x:c r="N7" s="7" t="str">
        <x:v>VERIFIED_BIBLIOGRAPHIC_DOCUMENT</x:v>
      </x:c>
      <x:c r="O7" s="7" t="str"/>
      <x:c r="P7" s="11" t="str"/>
      <x:c r="Q7" s="7" t="str"/>
      <x:c r="R7" s="7" t="str"/>
      <x:c r="S7" s="7" t="str"/>
      <x:c r="T7" s="7" t="str"/>
      <x:c r="U7" s="7" t="str"/>
      <x:c r="V7" s="7" t="str">
        <x:v>PRODUCTION_CORE_INCLUDE</x:v>
      </x:c>
      <x:c r="W7" s="7" t="str">
        <x:v>PROD-00032</x:v>
      </x:c>
    </x:row>
    <x:row r="8" ht="42" customHeight="1">
      <x:c r="A8" s="10" t="str">
        <x:v>A</x:v>
      </x:c>
      <x:c r="B8" s="7" t="str">
        <x:v>CWC-EDB1480675F9</x:v>
      </x:c>
      <x:c r="C8" s="7" t="str">
        <x:v>Effects and recovery of larvae of the cold-water coral Lophelia pertusa (Desmophyllum pertusum) exposed to suspended bentonite, barite and drill cuttings</x:v>
      </x:c>
      <x:c r="D8" s="7" t="str">
        <x:v>Johanna Järnegren | Sandra Brooke | Henrik Jensen</x:v>
      </x:c>
      <x:c r="E8" s="11" t="str">
        <x:v>2020</x:v>
      </x:c>
      <x:c r="F8" s="7" t="str">
        <x:v>Marine Environmental Research</x:v>
      </x:c>
      <x:c r="G8" s="7" t="str">
        <x:v>article</x:v>
      </x:c>
      <x:c r="H8" s="7" t="str">
        <x:v>10.1016/j.marenvres.2020.104996</x:v>
      </x:c>
      <x:c r="I8" s="7" t="str">
        <x:v>https://doi.org/10.1016/j.marenvres.2020.104996</x:v>
      </x:c>
      <x:c r="J8" s="7" t="str">
        <x:v>Fossil fuel drilling operations create sediment plumes and release waste materials into the ocean. These operations sometimes occur close to sensitive marine ecosystems, such as cold-water corals. While there have been several studies on the effects of energy industry activities on adult corals, there is very little information on potential impacts to their early life history stages. Larval stages of many marine organisms, including cold-water corals use cilia as a means of feeding and swimming, and if these structures become clogged with suspended particulates, the larvae may sink and be lost to the system. The objective of this study was to understand the response of Lophelia pertusa larvae to a different drilling waste components, and assess post-exposure recovery. Larvae of two ages (eight and 21 days) were exposed to a range of concentrations of bentonite, barite and drill cuttings. Larval sensitivity was assessed using the concentration at which 50% of the larvae showed behavioral effects (EC50) or lethal effects (LC50). Larvae showed greatest sensitivity to bentonite, followed by barite and drill cuttings, and also showed age-related responses that differed among the test materials. Post exposure recovery was variable across materials, with larvae exposed to bentonite having the lowest recovery rates. Understanding the vulnerability of early life history stages to human activities can help inform management strategies to preserve reproductive capacity of important marine ecosystems.</x:v>
      </x:c>
      <x:c r="K8" s="11" t="str">
        <x:v>YES</x:v>
      </x:c>
      <x:c r="L8" s="7" t="str">
        <x:v>FROZEN_PUBLIC_FULL_TEXT_LOCATION</x:v>
      </x:c>
      <x:c r="M8" s="7" t="str">
        <x:v>https://www.sciencedirect.com/science/article/pii/S0141113619307913/pdf</x:v>
      </x:c>
      <x:c r="N8" s="7" t="str">
        <x:v>VERIFIED_BIBLIOGRAPHIC_DOCUMENT</x:v>
      </x:c>
      <x:c r="O8" s="7" t="str"/>
      <x:c r="P8" s="11" t="str"/>
      <x:c r="Q8" s="7" t="str"/>
      <x:c r="R8" s="7" t="str"/>
      <x:c r="S8" s="7" t="str"/>
      <x:c r="T8" s="7" t="str"/>
      <x:c r="U8" s="7" t="str"/>
      <x:c r="V8" s="7" t="str">
        <x:v>PRODUCTION_CORE_INCLUDE</x:v>
      </x:c>
      <x:c r="W8" s="7" t="str">
        <x:v>PROD-00034</x:v>
      </x:c>
    </x:row>
    <x:row r="9" ht="42" customHeight="1">
      <x:c r="A9" s="10" t="str">
        <x:v>A</x:v>
      </x:c>
      <x:c r="B9" s="7" t="str">
        <x:v>CWC-3143828C5285</x:v>
      </x:c>
      <x:c r="C9" s="7" t="str">
        <x:v>Mechanical and toxicological effects of deep-sea mining sediment plumes on a habitat-forming cold-water octocoral</x:v>
      </x:c>
      <x:c r="D9" s="7" t="str">
        <x:v>Marina Carreiro‐Silva | Inês Martins | Virginie Riou | Joana Raimundo | Miguel Caetano | Raúl Bettencourt | Maria Rakka | Teresa Cerqueira | António Godinho | Telmo Morato | Ana Colaço</x:v>
      </x:c>
      <x:c r="E9" s="11" t="str">
        <x:v>2022</x:v>
      </x:c>
      <x:c r="F9" s="7" t="str">
        <x:v>Frontiers in Marine Science</x:v>
      </x:c>
      <x:c r="G9" s="7" t="str">
        <x:v>article</x:v>
      </x:c>
      <x:c r="H9" s="7" t="str">
        <x:v>10.3389/fmars.2022.915650</x:v>
      </x:c>
      <x:c r="I9" s="7" t="str">
        <x:v>https://doi.org/10.3389/fmars.2022.915650</x:v>
      </x:c>
      <x:c r="J9" s="7" t="str">
        <x:v>Deep-sea mining activities are expected to impact deep-sea biota through the generation of sediment plumes that disperse across vast areas of the ocean. Benthic sessile suspension-feeding fauna, such as cold-water corals, may be particularly susceptible to increased suspended sediments. Here, we exposed the cold-water octocoral, Dentomuricea aff. meteor to suspended particles generated during potential mining activities in a four weeks experimental study. Corals were exposed to three experimental treatments: (1) control conditions (no added sediments); (2) suspended polymetallic sulphide (PMS) particles; (3) suspended quartz particles. The two particle treatments were designed to distinguish between potential mechanical and toxicological effects of mining particles. PMS particles were obtained by grinding PMS inactive chimney rocks collected at the hydrothermal vent field Lucky Strike. Both particle types were delivered at a concentration of 25 mg L -1 , but achieved suspended concentrations were 2-3 mg L -1 for the PMS and 15-18 mg L -1 for the quartz particles due to the different particle density. Results of the experiment revealed a significant increase in dissolved cobalt, copper and manganese concentrations in the PMS treatment, resulting from the oxidation of sulphides in contact with seawater. Negative effects of PMS exposure included a progressive loss in tissue condition with necrosis and bioaccumulation of copper in coral tissues and skeletons, and death of all coral fragments by the end of the experiment. Physiological changes under PMS exposure, included increased respiration and ammonia excretion rates in corals after 13 days of exposure, indicating physiological stress and potential metabolic exhaustion. Changes in the cellular stress biomarkers and gene expression profiles were more pronounced in corals exposed to quartz particles, suggesting that the mechanical effect of particles although not causing measurable changes in the physiological functions of the coral, can still be detrimental to corals by eliciting cellular stress and immune responses. We hypothesize that the high mortality of corals recorded in the PMS treatment may have resulted from the combined and potentially synergistic mechanical and toxicological effects of the PMS particles. Given the dispersal potential of mining plumes and the highly sensitive nature of octocorals, marine protected areas, buffer areas or non-mining areas may be necessary to protect deep-sea coral communities.</x:v>
      </x:c>
      <x:c r="K9" s="11" t="str">
        <x:v>YES</x:v>
      </x:c>
      <x:c r="L9" s="7" t="str">
        <x:v>FROZEN_PUBLIC_FULL_TEXT_LOCATION</x:v>
      </x:c>
      <x:c r="M9" s="7" t="str">
        <x:v>https://doi.org/10.3389/fmars.2022.915650</x:v>
      </x:c>
      <x:c r="N9" s="7" t="str">
        <x:v>VERIFIED_BIBLIOGRAPHIC_DOCUMENT</x:v>
      </x:c>
      <x:c r="O9" s="7" t="str"/>
      <x:c r="P9" s="11" t="str"/>
      <x:c r="Q9" s="7" t="str"/>
      <x:c r="R9" s="7" t="str"/>
      <x:c r="S9" s="7" t="str"/>
      <x:c r="T9" s="7" t="str"/>
      <x:c r="U9" s="7" t="str"/>
      <x:c r="V9" s="7" t="str">
        <x:v>PRODUCTION_CORE_INCLUDE</x:v>
      </x:c>
      <x:c r="W9" s="7" t="str">
        <x:v>PROD-00046</x:v>
      </x:c>
    </x:row>
    <x:row r="10" ht="42" customHeight="1">
      <x:c r="A10" s="10" t="str">
        <x:v>A</x:v>
      </x:c>
      <x:c r="B10" s="7" t="str">
        <x:v>CWC-65CF36C85E16</x:v>
      </x:c>
      <x:c r="C10" s="7" t="str">
        <x:v>Effects of drill cuttings on larvae of the cold-water coral Lophelia pertusa</x:v>
      </x:c>
      <x:c r="D10" s="7" t="str">
        <x:v>Johanna Järnegren | Sandra Brooke | Henrik Jensen</x:v>
      </x:c>
      <x:c r="E10" s="11" t="str">
        <x:v>2016</x:v>
      </x:c>
      <x:c r="F10" s="7" t="str">
        <x:v>Deep Sea Research Part II Topical Studies in Oceanography</x:v>
      </x:c>
      <x:c r="G10" s="7" t="str">
        <x:v>article</x:v>
      </x:c>
      <x:c r="H10" s="7" t="str">
        <x:v>10.1016/j.dsr2.2016.06.014</x:v>
      </x:c>
      <x:c r="I10" s="7" t="str">
        <x:v>https://doi.org/10.1016/j.dsr2.2016.06.014</x:v>
      </x:c>
      <x:c r="J10" s="7" t="str">
        <x:v>Fossil fuel consumption is predicted to dominate energy needs until at least 2040. To make up for reduced production from maturing fields, oil and gas exploration activities on the Norwegian continental shelf have greatly increased over the past several years. Strict emission controls have resulted in a substantial reduction in the release of hazardous chemicals. However, because of the increased exploration the discharges of water-based drill cuttings and muds have increased substantially, temporarily increasing water column sediment loads. The stony coral Lophelia pertusa is the most widely distributed and well-studied of the structure forming cold water corals (CWC) and it thrives in Norwegian waters where many reefs are located in the vicinity of oil platforms or exploration areas. This species provides habitat for a diverse and abundant assemblage of invertebrates and fishes, including commercially valuable species. High sediment loads are known to negatively affect adult corals, but impacts on the early life history stages are unknown. We investigated the effects of a range of drill cutting concentrations (0.5-640 ppm) on larvae of L. pertusa at ages five days and 15-20 days. One set of experiments was conducted in static experimental chambers that exposed larvae to decreasing concentrations over time, and the other maintained continuous drill cutting concentrations for the duration of the experiment (24 h). Increased sediment load for a duration of 24 h caused significant larval mortality, but there was an age-dependent difference in sensitivity of larvae. Younger larvae were significantly more susceptible to lower concentrations of drill cuttings than older larvae, while the older larvae were significantly more affected at higher concentrations. Five day old larvae were affected at treatment concentration 40 ppm. The larval cilia became clogged, preventing the larvae from swimming actively and ultimately causing mortality. Larvae of many species use cilia for swimming and feeding, so negative impacts of increased sediment may not be limited to corals. (C) 2016 Elsevier Ltd. All rights reserved.</x:v>
      </x:c>
      <x:c r="K10" s="11" t="str">
        <x:v>NO</x:v>
      </x:c>
      <x:c r="L10" s="7" t="str">
        <x:v>NOT_CONFIRMED</x:v>
      </x:c>
      <x:c r="M10" s="7" t="str"/>
      <x:c r="N10" s="7" t="str">
        <x:v>VERIFIED_BIBLIOGRAPHIC_DOCUMENT</x:v>
      </x:c>
      <x:c r="O10" s="7" t="str"/>
      <x:c r="P10" s="11" t="str"/>
      <x:c r="Q10" s="7" t="str"/>
      <x:c r="R10" s="7" t="str"/>
      <x:c r="S10" s="7" t="str"/>
      <x:c r="T10" s="7" t="str"/>
      <x:c r="U10" s="7" t="str"/>
      <x:c r="V10" s="7" t="str">
        <x:v>PRODUCTION_CORE_INCLUDE</x:v>
      </x:c>
      <x:c r="W10" s="7" t="str">
        <x:v>PROD-00049</x:v>
      </x:c>
    </x:row>
    <x:row r="11" ht="42" customHeight="1">
      <x:c r="A11" s="10" t="str">
        <x:v>A</x:v>
      </x:c>
      <x:c r="B11" s="7" t="str">
        <x:v>CWC-B27727ED4386</x:v>
      </x:c>
      <x:c r="C11" s="7" t="str">
        <x:v>Effects of suspended drill cuttings on the coral Lophelia pertusa using pulsed and continuous exposure scenarios</x:v>
      </x:c>
      <x:c r="D11" s="7" t="str">
        <x:v>Thierry Baussant | Marianne Nilsen | Elisa Ravagnan | Stig Westerlund | Sreerekha Ramanand</x:v>
      </x:c>
      <x:c r="E11" s="11" t="str">
        <x:v>2018</x:v>
      </x:c>
      <x:c r="F11" s="7" t="str">
        <x:v>Journal of Toxicology and Environmental Health</x:v>
      </x:c>
      <x:c r="G11" s="7" t="str">
        <x:v>article</x:v>
      </x:c>
      <x:c r="H11" s="7" t="str">
        <x:v>10.1080/15287394.2018.1444375</x:v>
      </x:c>
      <x:c r="I11" s="7" t="str">
        <x:v>https://doi.org/10.1080/15287394.2018.1444375</x:v>
      </x:c>
      <x:c r="J11" s="7" t="str">
        <x:v>ABSTRACT This study aimed at providing confidence in the predictability of the impacts of drill cuttings (DC) discharge on the cold-water coral Lophelia pertusa. L. pertusa was exposed to DC from offshore exploration in the lab with the goal to assess precautionary thresholds of effects. Two exposure scenarios with DC were tested: a long-term (LT) pulsed exposure (12 weeks, peak concentrations: 2–50 mg/L, mean concentrations: 1–25 mg/L) and a short-term (ST) continuous exposure (2.5 weeks, mean concentrations: 4–42 mg/L). After exposure, a recovery period of 16 and 4 weeks was maintained in LT and ST, respectively. While there was an assumption that DC might result in an increase in respiration, decrease in growth, enhanced mucus production, reduced fatty acid content, only a significant rise was noted in skeleton growth at DC 4 mg/L and a significant increase of mucus particulate organic carbon at 25 mg/L at end of the exposure. DC did not markedly reduce prey capture rate consecutive to DC exposure. However, the effect of DC produced an increase of coral polyp activity during exposure and a return to pre-exposure conditions after cessation of DC, and coenosarc was smothered from DC even after a long recovery period (4 weeks). Overall, a DC concentration of 10 mg/L seems to represent a threshold above which changes in coral conditions were observed however with no apparent physiological consequences for the coral within the experimental time scale.</x:v>
      </x:c>
      <x:c r="K11" s="11" t="str">
        <x:v>YES</x:v>
      </x:c>
      <x:c r="L11" s="7" t="str">
        <x:v>FROZEN_PUBLIC_FULL_TEXT_LOCATION</x:v>
      </x:c>
      <x:c r="M11" s="7" t="str">
        <x:v>https://figshare.com/articles/journal_contribution/Effects_of_suspended_drill_cuttings_on_the_coral_i_Lophelia_pertusa_i_using_pulsed_and_continuous_exposure_scenarios/5984998</x:v>
      </x:c>
      <x:c r="N11" s="7" t="str">
        <x:v>VERIFIED_BIBLIOGRAPHIC_DOCUMENT</x:v>
      </x:c>
      <x:c r="O11" s="7" t="str"/>
      <x:c r="P11" s="11" t="str"/>
      <x:c r="Q11" s="7" t="str"/>
      <x:c r="R11" s="7" t="str"/>
      <x:c r="S11" s="7" t="str"/>
      <x:c r="T11" s="7" t="str"/>
      <x:c r="U11" s="7" t="str"/>
      <x:c r="V11" s="7" t="str">
        <x:v>PRODUCTION_CORE_INCLUDE</x:v>
      </x:c>
      <x:c r="W11" s="7" t="str">
        <x:v>PROD-00050</x:v>
      </x:c>
    </x:row>
    <x:row r="12" ht="42" customHeight="1">
      <x:c r="A12" s="10" t="str">
        <x:v>A</x:v>
      </x:c>
      <x:c r="B12" s="7" t="str">
        <x:v>CWC-F4145597F5EA</x:v>
      </x:c>
      <x:c r="C12" s="7" t="str">
        <x:v>Impacts of barite and bentonite sedimentation on the behaviour, mucus production and cnidocytes of the deep-sea coral Flabellum (Ulocyathus) alabastrum</x:v>
      </x:c>
      <x:c r="D12" s="7" t="str">
        <x:v>Kenneth A. Murray | Bárbara de Moura Neves | Jean-François Hamel | Johanne Vad | Vonda Hayes | Annie Mercier</x:v>
      </x:c>
      <x:c r="E12" s="11" t="str">
        <x:v>2025</x:v>
      </x:c>
      <x:c r="F12" s="7" t="str">
        <x:v>Deep Sea Research Part II Topical Studies in Oceanography</x:v>
      </x:c>
      <x:c r="G12" s="7" t="str">
        <x:v>article</x:v>
      </x:c>
      <x:c r="H12" s="7" t="str">
        <x:v>10.1016/j.dsr2.2025.105536</x:v>
      </x:c>
      <x:c r="I12" s="7" t="str">
        <x:v>https://doi.org/10.1016/j.dsr2.2025.105536</x:v>
      </x:c>
      <x:c r="J12" s="7" t="str">
        <x:v>As oil and gas exploration expands in deep-sea environments, understanding the impacts of wastes produced by this industry is urgent. One of the main wastes of offshore drilling is the discharge of drill muds, commonly including barite and bentonite clay. Here, we investigated the effects of these two byproducts on the expansion behaviour, mucus secretion and cnidocyte density of the solitary cup coral Flabellum ( Ulocyathus ) alabastrum . A total of 96 live corals were exposed over 10 days to one of three treatments (barite, bentonite, or barite and bentonite combined) or assigned as an untreated control. Daily waste additions aimed to reach a total sedimentation depth of 6.3 mm (common ‘probable no-effects threshold’). Photography was used to monitor behavioural changes and mucus production, and histology was used to assess changes in tentacle cnidocytes. Overall, responses of F. alabastrum in the form of excessive polyp expansion (swelling) and mucus production were more severe under the barite and bentonite combined treatment, followed by barite alone, bentonite alone and lowest/absent in the control. Moreover, elevated nematocyte densities were measured under exposure to the mix of barite and bentonite. However, F. alabastrum returned to baseline metrics during a 10-day recovery period. The results suggest that sedimentation of common drill mud ingredients to &lt;6.3 mm depth can cause observable and non-lethal responses in F. alabastrum , but remain conservative relative to what may be experienced in situ . As the most adverse effects were observed under the barite and bentonite combination treatment (tested together for the first time here), potential synergistic effects of the two should be considered in future research. Understanding long-term consequences, as well as impacts of more abrasive drilling waste (drill cuttings) on F. alabastrum requires further study.</x:v>
      </x:c>
      <x:c r="K12" s="11" t="str">
        <x:v>YES</x:v>
      </x:c>
      <x:c r="L12" s="7" t="str">
        <x:v>FROZEN_PUBLIC_FULL_TEXT_LOCATION</x:v>
      </x:c>
      <x:c r="M12" s="7" t="str">
        <x:v>https://doi.org/10.1016/j.dsr2.2025.105536</x:v>
      </x:c>
      <x:c r="N12" s="7" t="str">
        <x:v>VERIFIED_BIBLIOGRAPHIC_DOCUMENT</x:v>
      </x:c>
      <x:c r="O12" s="7" t="str"/>
      <x:c r="P12" s="11" t="str"/>
      <x:c r="Q12" s="7" t="str"/>
      <x:c r="R12" s="7" t="str"/>
      <x:c r="S12" s="7" t="str"/>
      <x:c r="T12" s="7" t="str"/>
      <x:c r="U12" s="7" t="str"/>
      <x:c r="V12" s="7" t="str">
        <x:v>PRODUCTION_CORE_INCLUDE</x:v>
      </x:c>
      <x:c r="W12" s="7" t="str">
        <x:v>PROD-00051</x:v>
      </x:c>
    </x:row>
    <x:row r="13" ht="42" customHeight="1">
      <x:c r="A13" s="10" t="str">
        <x:v>A</x:v>
      </x:c>
      <x:c r="B13" s="7" t="str">
        <x:v>CWC-93C925DB4EEE</x:v>
      </x:c>
      <x:c r="C13" s="7" t="str">
        <x:v>Resistance of Lophelia pertusa to coverage by sediment and petroleum drill cuttings</x:v>
      </x:c>
      <x:c r="D13" s="7" t="str">
        <x:v>Elke Allers | Raeid M. M. Abed | Laura M. Wehrmann | Tao Wang | Ann I. Larsson | Autun Purser | Dirk de Beer</x:v>
      </x:c>
      <x:c r="E13" s="11" t="str">
        <x:v>2013</x:v>
      </x:c>
      <x:c r="F13" s="7" t="str">
        <x:v>Marine Pollution Bulletin</x:v>
      </x:c>
      <x:c r="G13" s="7" t="str">
        <x:v>article</x:v>
      </x:c>
      <x:c r="H13" s="7" t="str">
        <x:v>10.1016/j.marpolbul.2013.07.016</x:v>
      </x:c>
      <x:c r="I13" s="7" t="str">
        <x:v>https://doi.org/10.1016/j.marpolbul.2013.07.016</x:v>
      </x:c>
      <x:c r="J13" s="7" t="str">
        <x:v>In laboratory experiments, the cold-water coral Lophelia pertusa was exposed to settling particles. The effects of reef sediment, petroleum drill cuttings and a mix of both, on the development of anoxia at the coral surface were studied using O-2, pH and H2S microsensors and by assessing coral polyp mortality. Due to the branching morphology of L pernisa and the release of coral mucus, accumulation rates of settling material on coral branches were low. Microsensors detected H2S production in only a few samples, and sulfate reduction rates of natural reef sediment slurries were low ( 24 h in reef sediment resulted in suffocation. (C) 2013 Elsevier Ltd. All rights reserved.</x:v>
      </x:c>
      <x:c r="K13" s="11" t="str">
        <x:v>NO</x:v>
      </x:c>
      <x:c r="L13" s="7" t="str">
        <x:v>NOT_CONFIRMED</x:v>
      </x:c>
      <x:c r="M13" s="7" t="str"/>
      <x:c r="N13" s="7" t="str">
        <x:v>VERIFIED_BIBLIOGRAPHIC_DOCUMENT</x:v>
      </x:c>
      <x:c r="O13" s="7" t="str"/>
      <x:c r="P13" s="11" t="str"/>
      <x:c r="Q13" s="7" t="str"/>
      <x:c r="R13" s="7" t="str"/>
      <x:c r="S13" s="7" t="str"/>
      <x:c r="T13" s="7" t="str"/>
      <x:c r="U13" s="7" t="str"/>
      <x:c r="V13" s="7" t="str">
        <x:v>PRODUCTION_CORE_INCLUDE</x:v>
      </x:c>
      <x:c r="W13" s="7" t="str">
        <x:v>PROD-00053</x:v>
      </x:c>
    </x:row>
    <x:row r="14" ht="42" customHeight="1">
      <x:c r="A14" s="10" t="str">
        <x:v>A</x:v>
      </x:c>
      <x:c r="B14" s="7" t="str">
        <x:v>CWC-06A242DB83C1</x:v>
      </x:c>
      <x:c r="C14" s="7" t="str">
        <x:v>An evaluation of coral lophelia pertusa mucus as an analytical matrix for environmental monitoring: A preliminary proteomic study</x:v>
      </x:c>
      <x:c r="D14" s="7" t="str">
        <x:v>Fiona Provan | Mari Mæland Nilsen | Eivind Larssen | Kai‐Erik Uleberg | Magne O. Sydnes | Emily Lyng | Kjell Birger Øysæd | Thierry Baussant</x:v>
      </x:c>
      <x:c r="E14" s="11" t="str">
        <x:v>2016</x:v>
      </x:c>
      <x:c r="F14" s="7" t="str">
        <x:v>Journal of Toxicology and Environmental Health</x:v>
      </x:c>
      <x:c r="G14" s="7" t="str">
        <x:v>article</x:v>
      </x:c>
      <x:c r="H14" s="7" t="str">
        <x:v>10.1080/15287394.2016.1210494</x:v>
      </x:c>
      <x:c r="I14" s="7" t="str">
        <x:v>https://doi.org/10.1080/15287394.2016.1210494</x:v>
      </x:c>
      <x:c r="J14" s="7" t="str">
        <x:v>For the environmental monitoring of coral, mucus appears to be an appropriate biological matrix due to its array of functions in coral biology and the non-intrusive manner in which it can be collected. The aim of the present study was to evaluate the feasibility of using mucus of the stony coral Lophelia pertusa (L. pertusa) as an analytical matrix for discovery of biomarkers used for environmental monitoring. More specifically, to assess whether a mass-spectrometry-based proteomic approach can be applied to characterize the protein composition of coral mucus and changes related to petroleum discharges at the seafloor. Surface-enhanced laser desorption/ionization-time of flight mass spectrometry (SELDI-TOF MS) screening analyses of orange and white L. pertusa showed that the mucosal protein composition varies significantly with color phenotype, a pattern not reported prior to this study. Hence, to reduce variability from phenotype difference, L. pertusa white individuals only were selected to characterize in more detail the basal protein composition in mucus using liquid chromatography, mass spectrometry, mass spectrometry (LC-MS/MS). In total, 297 proteins were identified in L. pertusa mucus of unexposed coral individuals. Individuals exposed to drill cuttings in the range 2 to 12 mg/L showed modifications in coral mucus protein composition compared to unexposed corals. Although the results were somewhat inconsistent between individuals and require further validation in both the lab and the field, this study demonstrated preliminary encouraging results for discovery of protein markers in coral mucus that might provide more comprehensive insight into potential consequences attributed to anthropogenic stressors and may be used in future monitoring of coral health.</x:v>
      </x:c>
      <x:c r="K14" s="11" t="str">
        <x:v>NO</x:v>
      </x:c>
      <x:c r="L14" s="7" t="str">
        <x:v>NOT_CONFIRMED</x:v>
      </x:c>
      <x:c r="M14" s="7" t="str"/>
      <x:c r="N14" s="7" t="str">
        <x:v>VERIFIED_BIBLIOGRAPHIC_DOCUMENT</x:v>
      </x:c>
      <x:c r="O14" s="7" t="str"/>
      <x:c r="P14" s="11" t="str"/>
      <x:c r="Q14" s="7" t="str"/>
      <x:c r="R14" s="7" t="str"/>
      <x:c r="S14" s="7" t="str"/>
      <x:c r="T14" s="7" t="str"/>
      <x:c r="U14" s="7" t="str"/>
      <x:c r="V14" s="7" t="str">
        <x:v>PRODUCTION_CORE_INCLUDE</x:v>
      </x:c>
      <x:c r="W14" s="7" t="str">
        <x:v>PROD-00054</x:v>
      </x:c>
    </x:row>
    <x:row r="15" ht="42" customHeight="1">
      <x:c r="A15" s="10" t="str">
        <x:v>A</x:v>
      </x:c>
      <x:c r="B15" s="7" t="str">
        <x:v>CWC-BFB60DE6806C</x:v>
      </x:c>
      <x:c r="C15" s="7" t="str">
        <x:v>Impact of excessive sedimentation caused by anthropogenic activities on benthic suspension feeders in the Sea of Marmara</x:v>
      </x:c>
      <x:c r="D15" s="7" t="str">
        <x:v>Nur Eda Topçu | Emre Turgay | Remziye Eda Yardımcı | Bülent Topaloğlu | Ahsen Yüksek | Terje M. Steınum | Süheyla Karataş | Bayram Öztürk</x:v>
      </x:c>
      <x:c r="E15" s="11" t="str">
        <x:v>2018</x:v>
      </x:c>
      <x:c r="F15" s="7" t="str">
        <x:v>Journal of the Marine Biological Association of the United Kingdom</x:v>
      </x:c>
      <x:c r="G15" s="7" t="str">
        <x:v>article</x:v>
      </x:c>
      <x:c r="H15" s="7" t="str">
        <x:v>10.1017/s0025315418001066</x:v>
      </x:c>
      <x:c r="I15" s="7" t="str">
        <x:v>https://doi.org/10.1017/s0025315418001066</x:v>
      </x:c>
      <x:c r="J15" s="7" t="str">
        <x:v>Abstract A massive die-off of benthic suspension feeders (BSF) covered by large amounts of sediments was observed along Prince Islands coasts (north-eastern Sea of Marmara) in August 2015. Alcyonarians, pennatulaceans, bivalves and sponges were severely affected. Many BSF probably died from burial and clogging of their feeding and respiratory apparatus. Of the gorgonian colonies, 66 ± 34% (mean ± SD) were dead, while 15 ± 16% (mean ± SD) displayed recent necrosis on the colony surface. In addition, histopathological and microbial examinations of the affected gorgonians and gold corals ( Savalia savaglia ) suggest that stress caused by sedimentation made them vulnerable to exploitation by consistently isolated opportunistic microorganisms. We isolated Vibrio splendidus and Vibrio neptunius from diseased gold coral colonies, but the bacterial isolates obtained from gorgonians could only be identified to genus Vibrio level. The presumably artificially introduced fungus Mucor circinelloides was common on both gold coral and gorgonians. This mould and opportunistic bacteria may have colonized BSF by taking advantage of low oxygen levels leading to impaired coral immune responses and thereby exacerbated the BSF mortality. Construction and landfill operations at Yassıada seem to be the greatest contributor to the observed sedimentation, as shown by silicate concentrations in nearby waters. These observations imply that preventive measures are necessary when construction operations take place in the vicinity of sensitive marine habitats.</x:v>
      </x:c>
      <x:c r="K15" s="11" t="str">
        <x:v>NO</x:v>
      </x:c>
      <x:c r="L15" s="7" t="str">
        <x:v>NOT_CONFIRMED</x:v>
      </x:c>
      <x:c r="M15" s="7" t="str"/>
      <x:c r="N15" s="7" t="str">
        <x:v>VERIFIED_BIBLIOGRAPHIC_DOCUMENT</x:v>
      </x:c>
      <x:c r="O15" s="7" t="str"/>
      <x:c r="P15" s="11" t="str"/>
      <x:c r="Q15" s="7" t="str"/>
      <x:c r="R15" s="7" t="str"/>
      <x:c r="S15" s="7" t="str"/>
      <x:c r="T15" s="7" t="str"/>
      <x:c r="U15" s="7" t="str"/>
      <x:c r="V15" s="7" t="str">
        <x:v>PRODUCTION_CORE_INCLUDE</x:v>
      </x:c>
      <x:c r="W15" s="7" t="str">
        <x:v>PROD-00171</x:v>
      </x:c>
    </x:row>
    <x:row r="16" ht="42" customHeight="1">
      <x:c r="A16" s="10" t="str">
        <x:v>A</x:v>
      </x:c>
      <x:c r="B16" s="7" t="str">
        <x:v>CWC-02937404E634</x:v>
      </x:c>
      <x:c r="C16" s="7" t="str">
        <x:v>Deposit feeding:a novel mode of nutrition in the Antarctic colonial soft coral Gersemia antarctica</x:v>
      </x:c>
      <x:c r="D16" s="7" t="str">
        <x:v>Marc Slattery | JB McClintock | SS Bowser</x:v>
      </x:c>
      <x:c r="E16" s="11" t="str">
        <x:v>1997</x:v>
      </x:c>
      <x:c r="F16" s="7" t="str">
        <x:v>Marine Ecology Progress Series</x:v>
      </x:c>
      <x:c r="G16" s="7" t="str">
        <x:v>article</x:v>
      </x:c>
      <x:c r="H16" s="7" t="str">
        <x:v>10.3354/meps149299</x:v>
      </x:c>
      <x:c r="I16" s="7" t="str">
        <x:v>https://doi.org/10.3354/meps149299</x:v>
      </x:c>
      <x:c r="J16" s="7" t="str">
        <x:v>MEPS Marine Ecology Progress Series Contact the journal Facebook Twitter RSS Mailing List Subscribe to our mailing list via Mailchimp HomeLatest VolumeAbout the JournalEditorsTheme Sections MEPS 149:299-304 (1997) - doi:10.3354/meps149299 Deposit feeding: a novel mode of nutrition in the Antarctic colonial soft coral Gersemia antarctica Slattery M, McClintock JB, Bowser SS The colonial nephtheid soft coral Gersemia antarctica is a deposit feeder in the soft sediment communities of McMurdo Sound, Antarctica. This feeding strategy involves coordinated bending of the entire colony against the substrate and is previously undescribed among soft corals. Gut content analyses indicate a mixed diet that includes benthic diatoms, foraminiferans, and particulate organic matter. Soft coral colonies move periodically in an 'inch worm' fashion, presumably to exploit undisturbed sediments. In fact, when colonies encounter previously grazed sediment they contract from the substrate almost immediately. This feeding strategy has likely evolved to supplement the capture of planktonic prey and is of particular importance in the Antarctic, and potentially the deep sea, where water column productivity is seasonally constrained. Deposit feeding · Soft coral · Antarctica · Benthic communities Full text in pdf format PreviousNextExport citation RSS - Facebook - Tweet - linkedIn Cited by Published in MEPS Vol. 149. Publication date: April 10, 1997 Print ISSN:0171-8630; Online ISSN:1616-1599 Copyright © 1997 Inter-Research.</x:v>
      </x:c>
      <x:c r="K16" s="11" t="str">
        <x:v>NO</x:v>
      </x:c>
      <x:c r="L16" s="7" t="str">
        <x:v>NOT_CONFIRMED</x:v>
      </x:c>
      <x:c r="M16" s="7" t="str"/>
      <x:c r="N16" s="7" t="str">
        <x:v>VERIFIED_BIBLIOGRAPHIC_DOCUMENT</x:v>
      </x:c>
      <x:c r="O16" s="7" t="str"/>
      <x:c r="P16" s="11" t="str"/>
      <x:c r="Q16" s="7" t="str"/>
      <x:c r="R16" s="7" t="str"/>
      <x:c r="S16" s="7" t="str"/>
      <x:c r="T16" s="7" t="str"/>
      <x:c r="U16" s="7" t="str"/>
      <x:c r="V16" s="7" t="str">
        <x:v>PRODUCTION_CORE_INCLUDE</x:v>
      </x:c>
      <x:c r="W16" s="7" t="str">
        <x:v>PROD-00208</x:v>
      </x:c>
    </x:row>
    <x:row r="17" ht="42" customHeight="1">
      <x:c r="A17" s="10" t="str">
        <x:v>A</x:v>
      </x:c>
      <x:c r="B17" s="7" t="str">
        <x:v>CWC-650B6A791BA4</x:v>
      </x:c>
      <x:c r="C17" s="7" t="str">
        <x:v>Feeding strategies and diet composition of four Antarctic cnidarian species</x:v>
      </x:c>
      <x:c r="D17" s="7" t="str">
        <x:v>Orejas, C | Gili, JM | López-González, PJ | Arntz, WE</x:v>
      </x:c>
      <x:c r="E17" s="11" t="str">
        <x:v>2001</x:v>
      </x:c>
      <x:c r="F17" s="7" t="str">
        <x:v>POLAR BIOLOGY</x:v>
      </x:c>
      <x:c r="G17" s="7" t="str">
        <x:v>JOUR</x:v>
      </x:c>
      <x:c r="H17" s="7" t="str">
        <x:v>10.1007/s003000100272</x:v>
      </x:c>
      <x:c r="I17" s="7" t="str">
        <x:v>https://doi.org/10.1007/s003000100272</x:v>
      </x:c>
      <x:c r="J17" s="7" t="str">
        <x:v>The diet of four species of Antarctic cnidarians, two hydroids and two anthozoans, was investigated. One hydroid, Tubularia ralphii, and one anthozoan, Anthomastus bathyproctus, seem to basically consume zooplankton whereas the other hydroid species, Oswaldella antarctica, has a diet mainly based on the fine fraction of seston. The last cnidarian investigated, the stoloniferan alcyonacean, Clavularia cf. frankliniana, feeds mainly on resuspended material. The wide range of diets of these Antarctic cnidarians indicates opportunistic behaviour by feeding on different sources and taking advantage of the available food sources. Data related to low C/N ratios in the sediment and high NO2 concentrations in areas with dense communities of benthic suspension feeders, along with data on capture rates, lead us to hypothesize that these organisms play an important role in the recycling processes of organic matter in Antarctic benthic ecosystems.</x:v>
      </x:c>
      <x:c r="K17" s="11" t="str">
        <x:v>NO</x:v>
      </x:c>
      <x:c r="L17" s="7" t="str">
        <x:v>NOT_CONFIRMED</x:v>
      </x:c>
      <x:c r="M17" s="7" t="str"/>
      <x:c r="N17" s="7" t="str">
        <x:v>VERIFIED_BIBLIOGRAPHIC_DOCUMENT</x:v>
      </x:c>
      <x:c r="O17" s="7" t="str"/>
      <x:c r="P17" s="11" t="str"/>
      <x:c r="Q17" s="7" t="str"/>
      <x:c r="R17" s="7" t="str"/>
      <x:c r="S17" s="7" t="str"/>
      <x:c r="T17" s="7" t="str"/>
      <x:c r="U17" s="7" t="str"/>
      <x:c r="V17" s="7" t="str">
        <x:v>PRODUCTION_CORE_INCLUDE</x:v>
      </x:c>
      <x:c r="W17" s="7" t="str">
        <x:v>PROD-00243</x:v>
      </x:c>
    </x:row>
    <x:row r="18" ht="42" customHeight="1">
      <x:c r="A18" s="10" t="str">
        <x:v>A</x:v>
      </x:c>
      <x:c r="B18" s="7" t="str">
        <x:v>CWC-C5790D88C317</x:v>
      </x:c>
      <x:c r="C18" s="7" t="str">
        <x:v>Effects of finfish aquaculture waste on the soft coral Gersemia rubiformis and sea anemone Aulactinia stella</x:v>
      </x:c>
      <x:c r="D18" s="7" t="str">
        <x:v>Kathryn Murray | Bárbara de Moura Neves | Jean-François Hamel | Daria Gallardi | Annie Mercier</x:v>
      </x:c>
      <x:c r="E18" s="11" t="str">
        <x:v>2026</x:v>
      </x:c>
      <x:c r="F18" s="7" t="str">
        <x:v>Marine Pollution Bulletin</x:v>
      </x:c>
      <x:c r="G18" s="7" t="str">
        <x:v>article</x:v>
      </x:c>
      <x:c r="H18" s="7" t="str">
        <x:v>10.1016/j.marpolbul.2026.119264</x:v>
      </x:c>
      <x:c r="I18" s="7" t="str">
        <x:v>https://doi.org/10.1016/j.marpolbul.2026.119264</x:v>
      </x:c>
      <x:c r="J18" s="7" t="str">
        <x:v>Finfish aquaculture production in marine habitats can alter benthic communities through the sedimentation of fish feces and excess feed. The direct impacts of aquaculture wastes on habitat-forming species such as cold-water corals, and other benthic megafauna, are not well understood. Here, the soft coral Gersemia rubiformis and the sea anemone Aulactinia stella were exposed twice daily to low (5 g C m −2 d −1 ) or high (10 g C m −2 d −1 ) concentrations of salmon feed/feces, inorganic sediment (0 g C m −2 d −1 ), or no sedimentation over 28 days. Behaviour was recorded using timelapse videos and direct observations, and biochemical analyses were conducted post-trial. When exposed to wastes, G. rubiformis spent more time in an expanded state, which may assist with sediment and/or bacterial removal. Similarly, individuals of A. stella exposed to wastes spent more time with their tentacles extended and showed increased eversion of their pharynx, potentially as feeding mechanisms. Though no change in lipid composition was detected because of aquaculture waste exposure in either species after 28 days, a shift in the overall fatty acid composition was identified for G. rubiformis . As well, tracer fatty acids associated with salmon waste (18:2ω6 and 18:1ω9) were elevated in the biochemical profiles of both species following the low and high-waste treatments, suggesting selective assimilation of salmon feed . This study showed behavioural and biochemical effects in both G. rubiformis and A. stella over a short period of exposure to aquaculture wastes, raising important questions regarding the effects of long-term exposure to wastes.</x:v>
      </x:c>
      <x:c r="K18" s="11" t="str">
        <x:v>YES</x:v>
      </x:c>
      <x:c r="L18" s="7" t="str">
        <x:v>FROZEN_PUBLIC_FULL_TEXT_LOCATION</x:v>
      </x:c>
      <x:c r="M18" s="7" t="str">
        <x:v>https://doi.org/10.1016/j.marpolbul.2026.119264</x:v>
      </x:c>
      <x:c r="N18" s="7" t="str">
        <x:v>VERIFIED_BIBLIOGRAPHIC_DOCUMENT</x:v>
      </x:c>
      <x:c r="O18" s="7" t="str"/>
      <x:c r="P18" s="11" t="str"/>
      <x:c r="Q18" s="7" t="str"/>
      <x:c r="R18" s="7" t="str"/>
      <x:c r="S18" s="7" t="str"/>
      <x:c r="T18" s="7" t="str"/>
      <x:c r="U18" s="7" t="str"/>
      <x:c r="V18" s="7" t="str">
        <x:v>PRODUCTION_CORE_INCLUDE</x:v>
      </x:c>
      <x:c r="W18" s="7" t="str">
        <x:v>PROD-00303</x:v>
      </x:c>
    </x:row>
    <x:row r="19" ht="42" customHeight="1">
      <x:c r="A19" s="10" t="str">
        <x:v>A</x:v>
      </x:c>
      <x:c r="B19" s="7" t="str">
        <x:v>CWC-64D1F1401DD1</x:v>
      </x:c>
      <x:c r="C19" s="7" t="str">
        <x:v>Morphological responses of a cup coral to environmental gradients</x:v>
      </x:c>
      <x:c r="D19" s="7" t="str">
        <x:v>James J. Bell</x:v>
      </x:c>
      <x:c r="E19" s="11" t="str">
        <x:v>2002</x:v>
      </x:c>
      <x:c r="F19" s="7" t="str">
        <x:v>Sarsia</x:v>
      </x:c>
      <x:c r="G19" s="7" t="str">
        <x:v>article</x:v>
      </x:c>
      <x:c r="H19" s="7" t="str">
        <x:v>10.1080/00364820260400825</x:v>
      </x:c>
      <x:c r="I19" s="7" t="str">
        <x:v>https://doi.org/10.1080/00364820260400825</x:v>
      </x:c>
      <x:c r="J19" s="7" t="str">
        <x:v>The morphology of the cup coral Caryophyllia smithii was studied under different regimes of water movement at Lough Hyne, Co. Cork, Ireland (51degrees29'N 9degrees18'W). Size was found to be significantly greater in wave sheltered environments than in wave exposed locations. Also, the size of corals decreased significantly with increasing depth, but only at wave sheltered locations. The smaller size of corals on the open coast (exposed) was considered to be a result of higher mortality from dislodgement of corals by intense wave action. The decrease in size with depth at sheltered environments is considered with respect to the increased energetic demand from sediment removal, reducing energy available for growth. An increased coral height for any given calyx width was found with increasing depth at sheltered sites and was higher at all depths than at the wave exposed site (even though actual heights decreased). Taller corals (for any given calyx size) release corals from competition with encrusting sponges and keep the calyx above the sediment surface. Upright forms also reduce the amount of sediment falling on feeding surfaces. It is considered that this morphological adaptation is mediated through initial high growth rates at undisturbed sites or reduced growth rates at disturbed sites. However, once corals reach &gt;8 mm in height, the growth rates are the same at all sites. The morphological adaptation of juvenile corals may have important consequences with respect to adaptation of adult corals, should their environment change.</x:v>
      </x:c>
      <x:c r="K19" s="11" t="str">
        <x:v>NO</x:v>
      </x:c>
      <x:c r="L19" s="7" t="str">
        <x:v>NOT_CONFIRMED</x:v>
      </x:c>
      <x:c r="M19" s="7" t="str"/>
      <x:c r="N19" s="7" t="str">
        <x:v>VERIFIED_BIBLIOGRAPHIC_DOCUMENT</x:v>
      </x:c>
      <x:c r="O19" s="7" t="str"/>
      <x:c r="P19" s="11" t="str"/>
      <x:c r="Q19" s="7" t="str"/>
      <x:c r="R19" s="7" t="str"/>
      <x:c r="S19" s="7" t="str"/>
      <x:c r="T19" s="7" t="str"/>
      <x:c r="U19" s="7" t="str"/>
      <x:c r="V19" s="7" t="str">
        <x:v>PRODUCTION_CORE_INCLUDE</x:v>
      </x:c>
      <x:c r="W19" s="7" t="str">
        <x:v>PROD-00568</x:v>
      </x:c>
    </x:row>
    <x:row r="20" ht="42" customHeight="1">
      <x:c r="A20" s="10" t="str">
        <x:v>A</x:v>
      </x:c>
      <x:c r="B20" s="7" t="str">
        <x:v>CWC-EB13663851B4</x:v>
      </x:c>
      <x:c r="C20" s="7" t="str">
        <x:v>Reconstruction of the formation history of the Darwin Mounds, N Rockall Trough: How the dynamics of a sandy contourite affected cold-water coral growth</x:v>
      </x:c>
      <x:c r="D20" s="7" t="str">
        <x:v>Lissette Victorero | Dominique Blamart | Edwige Pons‐Branchu | Mark Mavrogordato | Veerle A.I. Huvenne</x:v>
      </x:c>
      <x:c r="E20" s="11" t="str">
        <x:v>2015</x:v>
      </x:c>
      <x:c r="F20" s="7" t="str">
        <x:v>Marine Geology</x:v>
      </x:c>
      <x:c r="G20" s="7" t="str">
        <x:v>article</x:v>
      </x:c>
      <x:c r="H20" s="7" t="str">
        <x:v>10.1016/j.margeo.2015.12.001</x:v>
      </x:c>
      <x:c r="I20" s="7" t="str">
        <x:v>https://doi.org/10.1016/j.margeo.2015.12.001</x:v>
      </x:c>
      <x:c r="J20" s="7" t="str">
        <x:v>Cold-water coral mounds, formed through a feed-back process of cold-water coral growth and sediment baffling, have been studied all along the NE Atlantic continental margin. However, major questions remain concerning their formation history, especially their initiation and early development in relation to the surrounding sediment dynamics. For the first time, two small mounds located in a sandy contourite have been cored from the top to mound base: here, the formation history of the Darwin Mounds, located in the Northern Rockall Trough was investigated and reconstructed from two piston cores using a multidisciplinary approach. This consisted of CT-scanning for quantifying coral density changes with depth, grain-size analysis to obtain the hydrodynamic trends and radiocarbon and U-series dating to place the results into a wider paleoceanographic context. The results show that the Darwin Mounds formed during the early Holocene (similar to 10 ka BP) through sediment baffling, mainly by Lophelia pertusa. The initiation of both mounds shows a similar pattern of increased current velocities resulting in coarser sediment deposition and a relatively high coral density with a peak of 23 vol%. The mound growth was rapid between similar to 10-9.7 ka BP (up to 277 cm ka(-1) in one of the mounds), with further vibrant growth periods around similar to 8.8 ka BP, 65 ka BP and 3.4 ka BP. The demise of the mounds ca. similar to 3 ka BP was likely caused by an intensification in bottom current velocities causing a hostile environment for coral growth in the contourite setting. In a wider context, the development of the Darwin Mounds appears to have responded to the relative strength and position of the Subpolar Gyre, which affected food supply to the corals, sedimentation rates, current speeds and other water mass properties in the area. (C) 2015 The Authors. Published by Elsevier B.V.</x:v>
      </x:c>
      <x:c r="K20" s="11" t="str">
        <x:v>YES</x:v>
      </x:c>
      <x:c r="L20" s="7" t="str">
        <x:v>FROZEN_PUBLIC_FULL_TEXT_LOCATION</x:v>
      </x:c>
      <x:c r="M20" s="7" t="str">
        <x:v>https://www.sciencedirect.com/science/article/pii/S0025322715300724/pdf</x:v>
      </x:c>
      <x:c r="N20" s="7" t="str">
        <x:v>VERIFIED_BIBLIOGRAPHIC_DOCUMENT</x:v>
      </x:c>
      <x:c r="O20" s="7" t="str"/>
      <x:c r="P20" s="11" t="str"/>
      <x:c r="Q20" s="7" t="str"/>
      <x:c r="R20" s="7" t="str"/>
      <x:c r="S20" s="7" t="str"/>
      <x:c r="T20" s="7" t="str"/>
      <x:c r="U20" s="7" t="str"/>
      <x:c r="V20" s="7" t="str">
        <x:v>PRODUCTION_CORE_INCLUDE</x:v>
      </x:c>
      <x:c r="W20" s="7" t="str">
        <x:v>PROD-00655</x:v>
      </x:c>
    </x:row>
    <x:row r="21" ht="42" customHeight="1">
      <x:c r="A21" s="10" t="str">
        <x:v>A</x:v>
      </x:c>
      <x:c r="B21" s="7" t="str">
        <x:v>CWC-5C88E3BBD29A</x:v>
      </x:c>
      <x:c r="C21" s="7" t="str">
        <x:v>Adverse effects of crushed seafloor massive sulphide deposits on the boreal deep-sea sponge Geodia barretti Bowerbank, 1858 and its associated fauna</x:v>
      </x:c>
      <x:c r="D21" s="7" t="str">
        <x:v>Erik Wurz | Linn M.Brekke Olsen | Kathrin Busch | Tone Ulvatn | Hans Tore Rapp | Ronald Osinga | Albertinka J. Murk</x:v>
      </x:c>
      <x:c r="E21" s="11" t="str">
        <x:v>2024</x:v>
      </x:c>
      <x:c r="F21" s="7" t="str">
        <x:v>Deep Sea Research Part I Oceanographic Research Papers</x:v>
      </x:c>
      <x:c r="G21" s="7" t="str">
        <x:v>article</x:v>
      </x:c>
      <x:c r="H21" s="7" t="str">
        <x:v>10.1016/j.dsr.2024.104311</x:v>
      </x:c>
      <x:c r="I21" s="7" t="str">
        <x:v>https://doi.org/10.1016/j.dsr.2024.104311</x:v>
      </x:c>
      <x:c r="J21" s="7" t="str">
        <x:v>Abundant mineral resources in the deep sea are prospected for mining for the global metal market. Seafloor massive sulphide (SMS) deposits along the Mid-Atlantic Ridge are one of the potential sources for these metals. The extraction of SMS deposits will expose adjacent marine ecosystems to suspended particle plumes charged with elevated concentrations of heavy metals and other potentially toxic compounds. Up to date there is no information about the impact of mining activities on deep-sea benthic ecosystems such as abundant deep-sea sponge grounds in the North Atlantic Ocean. Sponge grounds play a major role in benthic-pelagic coupling and represent an important habitat for a diversity of vertebrates, invertebrates and microorganisms. To simulate the effects of mining plumes on benthic life in the deep sea, we exposed Geodia barretti, a dominant sponge species in the North Atlantic Ocean, and an associated brittle star species from the genus Ophiura spp. to a field-relevant concentration of 30 mg L-1 suspended particles of crushed SMS deposits. Three weeks of exposure to suspended particles of crushed SMS resulted in a tenfold higher rate of tissue necrosis in sponges. All brittle stars in the experiment perished within ten days of exposure. SMS particles were evidently accumulated in the sponge’s mesohyl and concentrations of iron and copper were 10 times elevated in SMS exposed individuals. Oxygen consumption and clearance rates were significantly retarded after the exposure to SMS particles, hampering the physiological performance of G. barretti. These adverse effects of crushed SMS deposits on G. barretti and its associated brittle star species potentially cascade in disruptions of benthic-pelagic coupling processes in the deep sea. More elaborate studies are advisable to identify threshold levels, management concepts and mitigation measures to minimize the impact of deep-sea mining plumes on benthic life.</x:v>
      </x:c>
      <x:c r="K21" s="11" t="str">
        <x:v>YES</x:v>
      </x:c>
      <x:c r="L21" s="7" t="str">
        <x:v>FROZEN_PUBLIC_FULL_TEXT_LOCATION</x:v>
      </x:c>
      <x:c r="M21" s="7" t="str">
        <x:v>https://doi.org/10.1016/j.dsr.2024.104311</x:v>
      </x:c>
      <x:c r="N21" s="7" t="str">
        <x:v>VERIFIED_BIBLIOGRAPHIC_DOCUMENT</x:v>
      </x:c>
      <x:c r="O21" s="7" t="str"/>
      <x:c r="P21" s="11" t="str"/>
      <x:c r="Q21" s="7" t="str"/>
      <x:c r="R21" s="7" t="str"/>
      <x:c r="S21" s="7" t="str"/>
      <x:c r="T21" s="7" t="str"/>
      <x:c r="U21" s="7" t="str"/>
      <x:c r="V21" s="7" t="str">
        <x:v>PRODUCTION_CORE_INCLUDE</x:v>
      </x:c>
      <x:c r="W21" s="7" t="str">
        <x:v>PROD-00714</x:v>
      </x:c>
    </x:row>
    <x:row r="22" ht="42" customHeight="1">
      <x:c r="A22" s="10" t="str">
        <x:v>A</x:v>
      </x:c>
      <x:c r="B22" s="7" t="str">
        <x:v>CWC-3BA5EE36CD77</x:v>
      </x:c>
      <x:c r="C22" s="7" t="str">
        <x:v>Suspended sediment causes feeding current arrests in situ in the glass sponge Aphrocallistes vastus</x:v>
      </x:c>
      <x:c r="D22" s="7" t="str">
        <x:v>Nathan J.R. Grant | Eugueni Matveev | A Kahn | Sally P. Leys</x:v>
      </x:c>
      <x:c r="E22" s="11" t="str">
        <x:v>2018</x:v>
      </x:c>
      <x:c r="F22" s="7" t="str">
        <x:v>Marine Environmental Research</x:v>
      </x:c>
      <x:c r="G22" s="7" t="str">
        <x:v>article</x:v>
      </x:c>
      <x:c r="H22" s="7" t="str">
        <x:v>10.1016/j.marenvres.2018.02.020</x:v>
      </x:c>
      <x:c r="I22" s="7" t="str">
        <x:v>https://doi.org/10.1016/j.marenvres.2018.02.020</x:v>
      </x:c>
      <x:c r="J22" s="7" t="str">
        <x:v>Bottom-contact trawling generates large, moving clouds of suspended sediments that can alter the behaviour of organisms adjacent to trawl paths. While increased suspended sediment concentrations (SSCs) are known to cause glass sponges to arrest filtration in lab studies, the response of sponges to sediment in situ is not yet known. Here we describe arrest behaviours in response to increased SSCs recorded from the glass sponge Aphrocallistes vastus at the Fraser Ridge sponge reef in the Strait of Georgia, British Columbia, Canada. We identified 23 arrests of the sponges' feeding current during experimental disturbances that raised SSC to between 10 and 80mg(l-1). Single arrests lasted 4.25 +/- 1.3 min ( +/- SD) and were characterized by a 2 cm s(-1) reduction in feeding current lasting 0.5-3 min (mean 1.91 +/- 0.97 min, n = 19). In comparison, coughing arrests varied in length (31 +/- 22.89 min) with arrest phases lasting 4-15 min (10.46 +/- 5.26 min, n = 4). Coughing arrests showed a distinctive on/off pattern as sponge filtration returned to normal excurrent velocities, distinguishing them from single arrests. The onset of both arrest types was correlated with elevated SSCs (r = -0.83 to -0.92). Natural SSCs at the reef averaged 4.4 mgl(-1) and were correlated with tidal flow (r = 0.86 to 0.89). The combined data provide evidence that suspended sediments can stop glass sponge feeding in situ even at SSCs below those known to be generated by trawling.</x:v>
      </x:c>
      <x:c r="K22" s="11" t="str">
        <x:v>NO</x:v>
      </x:c>
      <x:c r="L22" s="7" t="str">
        <x:v>NOT_CONFIRMED</x:v>
      </x:c>
      <x:c r="M22" s="7" t="str"/>
      <x:c r="N22" s="7" t="str">
        <x:v>VERIFIED_BIBLIOGRAPHIC_DOCUMENT</x:v>
      </x:c>
      <x:c r="O22" s="7" t="str"/>
      <x:c r="P22" s="11" t="str"/>
      <x:c r="Q22" s="7" t="str"/>
      <x:c r="R22" s="7" t="str"/>
      <x:c r="S22" s="7" t="str"/>
      <x:c r="T22" s="7" t="str"/>
      <x:c r="U22" s="7" t="str"/>
      <x:c r="V22" s="7" t="str">
        <x:v>PRODUCTION_CORE_INCLUDE</x:v>
      </x:c>
      <x:c r="W22" s="7" t="str">
        <x:v>PROD-00715</x:v>
      </x:c>
    </x:row>
    <x:row r="23" ht="42" customHeight="1">
      <x:c r="A23" s="10" t="str">
        <x:v>A</x:v>
      </x:c>
      <x:c r="B23" s="7" t="str">
        <x:v>CWC-227A2136AB45</x:v>
      </x:c>
      <x:c r="C23" s="7" t="str">
        <x:v>The Hexactinellid Deep-Water Sponge Vazella pourtalesii (Schmidt, 1870) (Rossellidae) Copes With Temporarily Elevated Concentrations of Suspended Natural Sediment</x:v>
      </x:c>
      <x:c r="D23" s="7" t="str">
        <x:v>Erik Wurz | Lindsay Beazley | Barry MacDonald | Ellen Kenchington | Hans Tore Rapp | Ronald Osinga</x:v>
      </x:c>
      <x:c r="E23" s="11" t="str">
        <x:v>2021</x:v>
      </x:c>
      <x:c r="F23" s="7" t="str">
        <x:v>Frontiers in Marine Science</x:v>
      </x:c>
      <x:c r="G23" s="7" t="str">
        <x:v>article</x:v>
      </x:c>
      <x:c r="H23" s="7" t="str">
        <x:v>10.3389/fmars.2021.611539</x:v>
      </x:c>
      <x:c r="I23" s="7" t="str">
        <x:v>https://doi.org/10.3389/fmars.2021.611539</x:v>
      </x:c>
      <x:c r="J23" s="7" t="str">
        <x:v>Plumes of re-suspended sediment potentially smother and clog the aquiferous system of filter-feeding sponges with unknown implications for their health. For the first time, we examined the physiological responses of repeated exposure to natural sediment in the glass sponge Vazella pourtalesii , which forms dense sponge grounds in Emerald Basin off Nova Scotia, Canada. Ex situ chamber-based measurements of bacterial clearance and oxygen consumption (respiration) rates indicated that individuals subjected to elevated concentrations of suspended sediment expressed normal clearance and respiration rates over 7 days of sediment exposure, indicating an ability to cope with elevated concentrations of indigestible sediment particles. However, clearance rates significantly declined after 14 days of sediment exposure, suggesting an inability to cope with long-term exposure to increased sediment load. Therefore, long-term exposure to elevated concentrations of suspended sediment should be avoided in order to minimize adverse effects on the abundant Vazella sponge grounds.</x:v>
      </x:c>
      <x:c r="K23" s="11" t="str">
        <x:v>YES</x:v>
      </x:c>
      <x:c r="L23" s="7" t="str">
        <x:v>FROZEN_PUBLIC_FULL_TEXT_LOCATION</x:v>
      </x:c>
      <x:c r="M23" s="7" t="str">
        <x:v>https://www.frontiersin.org/articles/10.3389/fmars.2021.611539/pdf</x:v>
      </x:c>
      <x:c r="N23" s="7" t="str">
        <x:v>VERIFIED_BIBLIOGRAPHIC_DOCUMENT</x:v>
      </x:c>
      <x:c r="O23" s="7" t="str"/>
      <x:c r="P23" s="11" t="str"/>
      <x:c r="Q23" s="7" t="str"/>
      <x:c r="R23" s="7" t="str"/>
      <x:c r="S23" s="7" t="str"/>
      <x:c r="T23" s="7" t="str"/>
      <x:c r="U23" s="7" t="str"/>
      <x:c r="V23" s="7" t="str">
        <x:v>PRODUCTION_CORE_INCLUDE</x:v>
      </x:c>
      <x:c r="W23" s="7" t="str">
        <x:v>PROD-00716</x:v>
      </x:c>
    </x:row>
    <x:row r="24" ht="42" customHeight="1">
      <x:c r="A24" s="10" t="str">
        <x:v>A</x:v>
      </x:c>
      <x:c r="B24" s="7" t="str">
        <x:v>CWC-D47B9A6D53DA</x:v>
      </x:c>
      <x:c r="C24" s="7" t="str">
        <x:v>Glass sponges arrest pumping in response to sediment: implications for the physiology of the hexactinellid conduction system</x:v>
      </x:c>
      <x:c r="D24" s="7" t="str">
        <x:v>Gabrielle J. Tompkins-MacDonald | Sally P. Leys</x:v>
      </x:c>
      <x:c r="E24" s="11" t="str">
        <x:v>2008</x:v>
      </x:c>
      <x:c r="F24" s="7" t="str">
        <x:v>Marine Biology</x:v>
      </x:c>
      <x:c r="G24" s="7" t="str">
        <x:v>article</x:v>
      </x:c>
      <x:c r="H24" s="7" t="str">
        <x:v>10.1007/s00227-008-0987-y</x:v>
      </x:c>
      <x:c r="I24" s="7" t="str">
        <x:v>https://doi.org/10.1007/s00227-008-0987-y</x:v>
      </x:c>
      <x:c r="J24" s="7" t="str">
        <x:v>The hexactinellid sponge Rhabdocalyptus dawsoni propagates electrical signals to arrest its feeding current in response to mechanical stimuli and sediment. The deepwater habitat of other species of glass sponge, and the difficulty of working with the tissue in vitro have so far prevented confirmation of electrical signaling in other members of the Class. Here we show in laboratory experiments (ex situ) that mechanical and sediment stimuli trigger immediate arrest in R. dawsoni and in a second species of hexactinellid, Aphrocallistes vastus, suggesting that rapid signaling may be a general feature of glass sponge tissue. Further, responses of the two species differed, suggestive of underlying physiological differences in the conduction system. R. dawsoni and A. vastus were sensitive to sediment but arrests were often prolonged in R. dawsoni, whereas in A. vastus pumping resumed immediately following each arrest. Fine sediment (&lt; 25 mu m) caused immediate arrests in R. dawsoni and A. vastus, but with a higher stimulus threshold in A. vastus. Large amounts of sediment triggered repeated arrests in both species, and prolonged exposure to sediment (over 4 h) caused a gradual reduction in pumping, with recovery taking up to 25 h. During recovery, both species of sponge carried out repeated arrests, which had a precise periodicity indicative of pacemaker activity. Scanning electron microscopy of the tissue of these specimens showed many chambers were clogged. The results suggest that the glass sponge conduction system generates arrest of the feeding current that prevent uptake of small amounts of sediment, and that each species has different threshold sensitivities. However, ongoing exposure to sediment can clog the filtration apparatus.</x:v>
      </x:c>
      <x:c r="K24" s="11" t="str">
        <x:v>YES</x:v>
      </x:c>
      <x:c r="L24" s="7" t="str">
        <x:v>FROZEN_PUBLIC_FULL_TEXT_LOCATION</x:v>
      </x:c>
      <x:c r="M24" s="7" t="str">
        <x:v>https://www.ovid.com/journals/mabi/fulltext/10.1007/s00227-008-0987-y~glass-sponges-arrest-pumping-in-response-to-sediment</x:v>
      </x:c>
      <x:c r="N24" s="7" t="str">
        <x:v>VERIFIED_BIBLIOGRAPHIC_DOCUMENT</x:v>
      </x:c>
      <x:c r="O24" s="7" t="str"/>
      <x:c r="P24" s="11" t="str"/>
      <x:c r="Q24" s="7" t="str"/>
      <x:c r="R24" s="7" t="str"/>
      <x:c r="S24" s="7" t="str"/>
      <x:c r="T24" s="7" t="str"/>
      <x:c r="U24" s="7" t="str"/>
      <x:c r="V24" s="7" t="str">
        <x:v>PRODUCTION_CORE_INCLUDE</x:v>
      </x:c>
      <x:c r="W24" s="7" t="str">
        <x:v>PROD-00717</x:v>
      </x:c>
    </x:row>
    <x:row r="25" ht="42" customHeight="1">
      <x:c r="A25" s="10" t="str">
        <x:v>A</x:v>
      </x:c>
      <x:c r="B25" s="7" t="str">
        <x:v>CWC-CACB1DD754AC</x:v>
      </x:c>
      <x:c r="C25" s="7" t="str">
        <x:v>Potential Impacts of Offshore Oil and Gas Activities on Deep-Sea Sponges and the Habitats They Form</x:v>
      </x:c>
      <x:c r="D25" s="7" t="str">
        <x:v>Johanne Vad | Georgios Kazanidis | Lea‐Anne Henry | Daniel O. B. Jones | Ole Secher Tendal | Sabine Christiansen | Theodore B. Henry | J. Murray Roberts</x:v>
      </x:c>
      <x:c r="E25" s="11" t="str">
        <x:v>2018</x:v>
      </x:c>
      <x:c r="F25" s="7" t="str">
        <x:v>Advances in marine biology</x:v>
      </x:c>
      <x:c r="G25" s="7" t="str">
        <x:v>book-chapter</x:v>
      </x:c>
      <x:c r="H25" s="7" t="str">
        <x:v>10.1016/bs.amb.2018.01.001</x:v>
      </x:c>
      <x:c r="I25" s="7" t="str">
        <x:v>https://doi.org/10.1016/bs.amb.2018.01.001</x:v>
      </x:c>
      <x:c r="J25" s="7" t="str">
        <x:v>Sponges form an important component of benthic ecosystems from shallow littoral to hadal depths. In the deep ocean, beyond the continental shelf, sponges can form high-density fields, constituting important habitats supporting rich benthic communities. Yet these habitats remain relatively unexplored. The oil and gas industry has played an important role in advancing our knowledge of deep-sea environments. Since its inception in the 1960s, offshore oil and gas industry has moved into deeper waters. However, the impacts of these activities on deep-sea sponges and other ecosystems are only starting to become the subject of active research. Throughout the development, operation and closure of an oil or gas field many activities take place, ranging from the seismic exploration of subseafloor geological features to the installation of infrastructure at the seabed to the drilling process itself. These routine activities and accidental releases of hydrocarbons during spills can significantly impact the local marine environment. Each phase of a field development or an accidental oil spill will therefore have different impacts on sponges at community, individual and cellular levels. Legacy issues regarding the future decommissioning of infrastructure and the abandonment of wells are also important environmental management considerations. This chapter reviews our understanding of impacts from hydrocarbon exploration and exploitation activities on deep-sea sponges and the habitats they form. These impacts include those (1) at community level, decreasing the diversity and density of benthic communities associated with deep-sea sponges owing to physical disturbance of the seabed; (2) at individual level, interrupting filtration owing to exposure to increased sedimentation; and (3) at cellular level, decreasing cellular membrane stability owing to exposure to drill muds. However, many potential effects not yet tested in deep-sea sponges but observed in shallow-water sponges or other model organisms should also be taken into account. Furthermore, to the best of our knowledge, no studies have shown impact of oil or dispersed oil on deep-sea sponges. To highlight these significant knowledge gaps, a summary table of potential and known impacts of hydrocarbon extraction and production activities combined with a simple "traffic light" scheme is also provided.</x:v>
      </x:c>
      <x:c r="K25" s="11" t="str">
        <x:v>YES</x:v>
      </x:c>
      <x:c r="L25" s="7" t="str">
        <x:v>FROZEN_PUBLIC_FULL_TEXT_LOCATION</x:v>
      </x:c>
      <x:c r="M25" s="7" t="str">
        <x:v>https://www.pure.ed.ac.uk/ws/files/50841106/SpongeReview_FinalDraft.pdf</x:v>
      </x:c>
      <x:c r="N25" s="7" t="str">
        <x:v>VERIFIED_BIBLIOGRAPHIC_DOCUMENT</x:v>
      </x:c>
      <x:c r="O25" s="7" t="str"/>
      <x:c r="P25" s="11" t="str"/>
      <x:c r="Q25" s="7" t="str"/>
      <x:c r="R25" s="7" t="str"/>
      <x:c r="S25" s="7" t="str"/>
      <x:c r="T25" s="7" t="str"/>
      <x:c r="U25" s="7" t="str"/>
      <x:c r="V25" s="7" t="str">
        <x:v>PRODUCTION_CORE_INCLUDE</x:v>
      </x:c>
      <x:c r="W25" s="7" t="str">
        <x:v>PROD-00719</x:v>
      </x:c>
    </x:row>
    <x:row r="26" ht="42" customHeight="1">
      <x:c r="A26" s="10" t="str">
        <x:v>A</x:v>
      </x:c>
      <x:c r="B26" s="7" t="str">
        <x:v>CWC-E6C6D0F728A1</x:v>
      </x:c>
      <x:c r="C26" s="7" t="str">
        <x:v>A New Method of Determining Glass Sponge Reef Adaptive Management Zones for the Hecate Strait and Queen Charlotte Sound Marine Protected Area</x:v>
      </x:c>
      <x:c r="D26" s="7" t="str">
        <x:v>Guoqi Han | Jon Chamberlain | Colin Webber | Charles G. Hannah</x:v>
      </x:c>
      <x:c r="E26" s="11" t="str">
        <x:v>2022</x:v>
      </x:c>
      <x:c r="F26" s="7" t="str">
        <x:v>Journal of Marine Science and Engineering</x:v>
      </x:c>
      <x:c r="G26" s="7" t="str">
        <x:v>article</x:v>
      </x:c>
      <x:c r="H26" s="7" t="str">
        <x:v>10.3390/jmse10070971</x:v>
      </x:c>
      <x:c r="I26" s="7" t="str">
        <x:v>https://doi.org/10.3390/jmse10070971</x:v>
      </x:c>
      <x:c r="J26" s="7" t="str">
        <x:v>The world’s largest living glass sponge reefs, located in the Hecate Strait and Queen Charlotte Sound off British Columbia, are impacted by bottom contact fishing gear. The existing Adaptive Management Zones (AMZs) for the protection of these reefs were determined by considering the potential exposure of glass sponges to suspended sediment due to mobile bottom-contact fishing, but without considering their pumping arrest threshold concentrations. Here, we develop a new method that uses a sediment transport model under horizontally variable near-bottom currents and newly available sponge reef pumping arrest thresholds to determine the size and shape of AMZ for the northern reefs in the Hecate Strait and Queen Charlotte Sound Marine Protected Area. The resulting AMZ is larger than the existing AMZ due to the observation that the largest currents are not always in the direction of the dominant tidal flows, the introduction of the new pumping arrest threshold, and the inclusion of a background sediment concentration. The new AMZ boundary could provide more adequate protection for the glass sponge reefs from the effects of sedimentation induced by mobile, bottom-contact fishing activity. The new method is applicable to other glass sponge reefs in British Columbia waters.</x:v>
      </x:c>
      <x:c r="K26" s="11" t="str">
        <x:v>YES</x:v>
      </x:c>
      <x:c r="L26" s="7" t="str">
        <x:v>FROZEN_PUBLIC_FULL_TEXT_LOCATION</x:v>
      </x:c>
      <x:c r="M26" s="7" t="str">
        <x:v>https://www.mdpi.com/2077-1312/10/7/971/pdf?version=1657877514</x:v>
      </x:c>
      <x:c r="N26" s="7" t="str">
        <x:v>VERIFIED_BIBLIOGRAPHIC_DOCUMENT</x:v>
      </x:c>
      <x:c r="O26" s="7" t="str"/>
      <x:c r="P26" s="11" t="str"/>
      <x:c r="Q26" s="7" t="str"/>
      <x:c r="R26" s="7" t="str"/>
      <x:c r="S26" s="7" t="str"/>
      <x:c r="T26" s="7" t="str"/>
      <x:c r="U26" s="7" t="str"/>
      <x:c r="V26" s="7" t="str">
        <x:v>PRODUCTION_CORE_INCLUDE</x:v>
      </x:c>
      <x:c r="W26" s="7" t="str">
        <x:v>PROD-00721</x:v>
      </x:c>
    </x:row>
    <x:row r="27" ht="42" customHeight="1">
      <x:c r="A27" s="10" t="str">
        <x:v>A</x:v>
      </x:c>
      <x:c r="B27" s="7" t="str">
        <x:v>CWC-A892DB47932A</x:v>
      </x:c>
      <x:c r="C27" s="7" t="str">
        <x:v>Effect of suspended sediments on the pumping rates of three species of glass sponge in situ</x:v>
      </x:c>
      <x:c r="D27" s="7" t="str">
        <x:v>Nathan J.R. Grant | Eugueni Matveev | A Kahn | Stephanie K. Archer | Amy E. Dunham | RJ Bannister | Dafne Eerkes‐Medrano | Sally P. Leys</x:v>
      </x:c>
      <x:c r="E27" s="11" t="str">
        <x:v>2019</x:v>
      </x:c>
      <x:c r="F27" s="7" t="str">
        <x:v>Marine Ecology Progress Series</x:v>
      </x:c>
      <x:c r="G27" s="7" t="str">
        <x:v>article</x:v>
      </x:c>
      <x:c r="H27" s="7" t="str">
        <x:v>10.3354/meps12939</x:v>
      </x:c>
      <x:c r="I27" s="7" t="str">
        <x:v>https://doi.org/10.3354/meps12939</x:v>
      </x:c>
      <x:c r="J27" s="7" t="str">
        <x:v>The largest known glass sponge reefs in Canada are within the Hecate Strait and Queen Charlotte Sound Glass Sponge Reefs Marine Protected Area (HSQCS-MPA) in British Columbia. However, human activities outside the core MPA boundaries, such as trawling, can create plumes of suspended sediments capable of travelling large distances. We studied the response of 3 glass sponge species to changes in suspended sediment concentrations (SSCs) at 170 m depth inside the HSQCS-MPA. Two species reduced excurrent flow rate in response to natural and experimentally induced increases in suspended sediment. Background suspended sediment levels were low and showed little variation (2.71 +/- 0.09 mg l(-1), mean +/- SD). Species varied in the threshold of SSCs that triggered arrests. Sediment concentrations of 2.8-6.4 mg l(-1) caused arrests in Rhabdocalyptus dawsoni, while Heterochone calyx did not arrest until concentrations reached 5-10 mg l(-1), Very small, but prolonged increases of suspended sediments (&lt;1 mg l(-1) for R. dawsoni and 3.2 mg l(-1) for H. calyx) caused arrests of several hours in R. dawsoni and prolonged periods of reduced flow in H. calyx. No arrests were observed in Farrea occa, even after repeated exposures up to 57 mg l(-1). A sediment transport model showed that sediment concentrations can remain high enough to affect sponge behaviour as far as 2.39 km from the source of the plume. The results highlight the importance of understanding the biology of different species for establishment of adequate boundaries in MPAs.</x:v>
      </x:c>
      <x:c r="K27" s="11" t="str">
        <x:v>YES</x:v>
      </x:c>
      <x:c r="L27" s="7" t="str">
        <x:v>FROZEN_PUBLIC_FULL_TEXT_LOCATION</x:v>
      </x:c>
      <x:c r="M27" s="7" t="str">
        <x:v>https://www.int-res.com/articles/meps_oa/m615p079.pdf</x:v>
      </x:c>
      <x:c r="N27" s="7" t="str">
        <x:v>VERIFIED_BIBLIOGRAPHIC_DOCUMENT</x:v>
      </x:c>
      <x:c r="O27" s="7" t="str"/>
      <x:c r="P27" s="11" t="str"/>
      <x:c r="Q27" s="7" t="str"/>
      <x:c r="R27" s="7" t="str"/>
      <x:c r="S27" s="7" t="str"/>
      <x:c r="T27" s="7" t="str"/>
      <x:c r="U27" s="7" t="str"/>
      <x:c r="V27" s="7" t="str">
        <x:v>PRODUCTION_CORE_INCLUDE</x:v>
      </x:c>
      <x:c r="W27" s="7" t="str">
        <x:v>PROD-00726</x:v>
      </x:c>
    </x:row>
    <x:row r="28" ht="42" customHeight="1">
      <x:c r="A28" s="10" t="str">
        <x:v>A</x:v>
      </x:c>
      <x:c r="B28" s="7" t="str">
        <x:v>CWC-8A7D3E851AE3</x:v>
      </x:c>
      <x:c r="C28" s="7" t="str">
        <x:v>Sediment tolerance of two different morphotypes of the deep-sea coral Lophelia pertusa from the Gulf of Mexico</x:v>
      </x:c>
      <x:c r="D28" s="7" t="str">
        <x:v>SD Brooke | MW Holmes | CM Young</x:v>
      </x:c>
      <x:c r="E28" s="11" t="str">
        <x:v>2009</x:v>
      </x:c>
      <x:c r="F28" s="7" t="str">
        <x:v>Marine Ecology Progress Series</x:v>
      </x:c>
      <x:c r="G28" s="7" t="str">
        <x:v>article</x:v>
      </x:c>
      <x:c r="H28" s="7" t="str">
        <x:v>10.3354/meps08191</x:v>
      </x:c>
      <x:c r="I28" s="7" t="str">
        <x:v>https://doi.org/10.3354/meps08191</x:v>
      </x:c>
      <x:c r="J28" s="7" t="str">
        <x:v>On the upper slope of the northern Gulf of Mexico, topographic features are often associated with authigenic carbonate, which provides hard substrate for sessile benthic communities. At depths &gt; 300 m, large Lophelia pertusa colonies frequently occur on these carbonate outcroppings. Surficial sediments at these depths are dominated by fine-grained particulates, which are readily resuspended during the episodic high current events that have been documented for the Gulf of Mexico. Colonies of L. pertusa found in the deep Gulf of Mexico exhibit 2 distinct growth forms: the very heavily calcified 'brachycephala' and the more fragile 'gracilis'. The objective of this research was to determine the tolerance of these 2 morphotypes to suspended sediment and to complete burial, using sediment collected from the study region. Results demonstrated that, although both morphotypes of L. pertusa can tolerate fairly heavy sediment conditions, mortality increases rapidly with longer burial or higher sediment loads.</x:v>
      </x:c>
      <x:c r="K28" s="11" t="str">
        <x:v>YES</x:v>
      </x:c>
      <x:c r="L28" s="7" t="str">
        <x:v>FROZEN_PUBLIC_FULL_TEXT_LOCATION</x:v>
      </x:c>
      <x:c r="M28" s="7" t="str">
        <x:v>https://www.int-res.com/articles/meps2009/390/m390p137.pdf</x:v>
      </x:c>
      <x:c r="N28" s="7" t="str">
        <x:v>VERIFIED_BIBLIOGRAPHIC_DOCUMENT</x:v>
      </x:c>
      <x:c r="O28" s="7" t="str"/>
      <x:c r="P28" s="11" t="str"/>
      <x:c r="Q28" s="7" t="str"/>
      <x:c r="R28" s="7" t="str"/>
      <x:c r="S28" s="7" t="str"/>
      <x:c r="T28" s="7" t="str"/>
      <x:c r="U28" s="7" t="str"/>
      <x:c r="V28" s="7" t="str">
        <x:v>PRODUCTION_CORE_INCLUDE</x:v>
      </x:c>
      <x:c r="W28" s="7" t="str">
        <x:v>PROD-00758</x:v>
      </x:c>
    </x:row>
    <x:row r="29" ht="42" customHeight="1">
      <x:c r="A29" s="10" t="str">
        <x:v>A</x:v>
      </x:c>
      <x:c r="B29" s="7" t="str">
        <x:v>CWC-57E2880D8624</x:v>
      </x:c>
      <x:c r="C29" s="7" t="str">
        <x:v>Effects of sediment pulses on the deep‐sea coral Goniocorella dumosa</x:v>
      </x:c>
      <x:c r="D29" s="7" t="str">
        <x:v>Valeria Mobilia | Dianne M. Tracey | Vonda J. Cummings | Malcolm R. Clark | Lisa Woods | James J. Bell</x:v>
      </x:c>
      <x:c r="E29" s="11" t="str">
        <x:v>2023</x:v>
      </x:c>
      <x:c r="F29" s="7" t="str">
        <x:v>New Zealand Journal of Marine and Freshwater Research</x:v>
      </x:c>
      <x:c r="G29" s="7" t="str">
        <x:v>article</x:v>
      </x:c>
      <x:c r="H29" s="7" t="str">
        <x:v>10.1080/00288330.2023.2230154</x:v>
      </x:c>
      <x:c r="I29" s="7" t="str">
        <x:v>https://doi.org/10.1080/00288330.2023.2230154</x:v>
      </x:c>
      <x:c r="J29" s="7" t="str">
        <x:v>ABSTRACT Seabed‐contact activities operating in the deep sea can generate sediment plumes that pose varying levels of threat to benthic fauna. Corals are important components of deep‐sea ecosystems and can be particularly sensitive to elevated suspended sediment concentrations. In this study, we exposed colony fragments of the New Zealand deep‐sea scleractinian Goniocorella dumosa to four‐day pulses of four target sediment concentrations: 0 mg l −1 (representing control conditions) and 45, 102 and 435 mg l −1 (targeting concentrations expected from mining and trawling disturbance). All coral fragments survived. Oxygen consumption rates were not affected by treatments and time. No visible detrimental effects on coral health were noted after the first pulse of sediment exposure. However, both a loss of coenosarc and instances of polyp mortality were observed on fragments exposed to suspended sediments during the following sediment pulses. This observed decline in coral health over time indicates that G. dumosa could cope with sediment disturbance from human activities that disturb the seafloor for periods of up to four days, but that repeated, or prolonged sediment exposure could cause a deterioration in the health condition of this species. This hypothesis should be further investigated in following studies.</x:v>
      </x:c>
      <x:c r="K29" s="11" t="str">
        <x:v>YES</x:v>
      </x:c>
      <x:c r="L29" s="7" t="str">
        <x:v>FROZEN_PUBLIC_FULL_TEXT_LOCATION</x:v>
      </x:c>
      <x:c r="M29" s="7" t="str">
        <x:v>https://figshare.com/articles/journal_contribution/Effects_of_sediment_pulses_on_the_deep-sea_coral_i_Goniocorella_dumosa_i_/23811817</x:v>
      </x:c>
      <x:c r="N29" s="7" t="str">
        <x:v>VERIFIED_BIBLIOGRAPHIC_DOCUMENT</x:v>
      </x:c>
      <x:c r="O29" s="7" t="str"/>
      <x:c r="P29" s="11" t="str"/>
      <x:c r="Q29" s="7" t="str"/>
      <x:c r="R29" s="7" t="str"/>
      <x:c r="S29" s="7" t="str"/>
      <x:c r="T29" s="7" t="str"/>
      <x:c r="U29" s="7" t="str"/>
      <x:c r="V29" s="7" t="str">
        <x:v>PRODUCTION_CORE_INCLUDE</x:v>
      </x:c>
      <x:c r="W29" s="7" t="str">
        <x:v>PROD-00766</x:v>
      </x:c>
    </x:row>
    <x:row r="30" ht="42" customHeight="1">
      <x:c r="A30" s="10" t="str">
        <x:v>A</x:v>
      </x:c>
      <x:c r="B30" s="7" t="str">
        <x:v>CWC-76D1F696686D</x:v>
      </x:c>
      <x:c r="C30" s="7" t="str">
        <x:v>Short-term physiological responses of the New Zealand deep-sea sponge Ecionemia novaezealandiae to elevated concentrations of suspended sediments</x:v>
      </x:c>
      <x:c r="D30" s="7" t="str">
        <x:v>Valeria Mobilia | Vonda J. Cummings | Malcolm R. Clark | Dianne M. Tracey | James J. Bell</x:v>
      </x:c>
      <x:c r="E30" s="11" t="str">
        <x:v>2021</x:v>
      </x:c>
      <x:c r="F30" s="7" t="str">
        <x:v>Journal of Experimental Marine Biology and Ecology</x:v>
      </x:c>
      <x:c r="G30" s="7" t="str">
        <x:v>article</x:v>
      </x:c>
      <x:c r="H30" s="7" t="str">
        <x:v>10.1016/j.jembe.2021.151579</x:v>
      </x:c>
      <x:c r="I30" s="7" t="str">
        <x:v>https://doi.org/10.1016/j.jembe.2021.151579</x:v>
      </x:c>
      <x:c r="J30" s="7" t="str">
        <x:v>Abstract The generation of sediment plumes by human activities, such as bottom fishing and potential deep-sea mining, poses threats to deep-sea benthic fauna. Sponges are important components of deep-sea ecosystems and can be particularly sensitive to elevated suspended sediment concentrations. In this study, we exposed the deep-sea New Zealand sponge Ecionemia novaezealandiae (Dendy, 1924) (Demospongiae: Ancorinidae) to a range of suspended sediment concentrations (SSC) (32, 78 and 475 mg l−1) and control conditions (no added sediment) continuously for two weeks. Survival was high (97%), with only one death (at the highest SSC). Half of the sponges in the 475 mg l−1 treatment showed partial necrosis by the end of the two-week exposure. Respiration rates of sponges in the sediment addition treatments decreased relative to control sponges by 27, 37 and 60%, respectively, after day 1; and by 7, 17, and 27%, respectively, after 14 days of suspended sediment exposure. At the end of the experiment, sectioning of the sponges revealed sediments deep in the tissue of all specimens, including controls, indicating previous incorporation of sediment occurred in their natural environment. Despite the high survival, the decreased respiration rates and partial necrosis with increasing SSC indicated a decline in sponge condition that could affect this species beyond the disturbance period.</x:v>
      </x:c>
      <x:c r="K30" s="11" t="str">
        <x:v>NO</x:v>
      </x:c>
      <x:c r="L30" s="7" t="str">
        <x:v>NOT_CONFIRMED</x:v>
      </x:c>
      <x:c r="M30" s="7" t="str"/>
      <x:c r="N30" s="7" t="str">
        <x:v>VERIFIED_BIBLIOGRAPHIC_DOCUMENT</x:v>
      </x:c>
      <x:c r="O30" s="7" t="str"/>
      <x:c r="P30" s="11" t="str"/>
      <x:c r="Q30" s="7" t="str"/>
      <x:c r="R30" s="7" t="str"/>
      <x:c r="S30" s="7" t="str"/>
      <x:c r="T30" s="7" t="str"/>
      <x:c r="U30" s="7" t="str"/>
      <x:c r="V30" s="7" t="str">
        <x:v>PRODUCTION_CORE_INCLUDE</x:v>
      </x:c>
      <x:c r="W30" s="7" t="str">
        <x:v>PROD-00789</x:v>
      </x:c>
    </x:row>
    <x:row r="31" ht="42" customHeight="1">
      <x:c r="A31" s="10" t="str">
        <x:v>A</x:v>
      </x:c>
      <x:c r="B31" s="7" t="str">
        <x:v>CWC-9D88361B731D</x:v>
      </x:c>
      <x:c r="C31" s="7" t="str">
        <x:v>Metabolic responses of the deep-water sponge Geodia barretti to suspended bottom sediment, simulated mine tailings and drill cuttings</x:v>
      </x:c>
      <x:c r="D31" s="7" t="str">
        <x:v>Tina Kutti | Raymond J. Bannister | Jan Helge Fosså | Cathinka M. Krogness | Ingrid Tjensvoll | Guldborg Søvik</x:v>
      </x:c>
      <x:c r="E31" s="11" t="str">
        <x:v>2015</x:v>
      </x:c>
      <x:c r="F31" s="7" t="str">
        <x:v>Journal of Experimental Marine Biology and Ecology</x:v>
      </x:c>
      <x:c r="G31" s="7" t="str">
        <x:v>article</x:v>
      </x:c>
      <x:c r="H31" s="7" t="str">
        <x:v>10.1016/j.jembe.2015.07.017</x:v>
      </x:c>
      <x:c r="I31" s="7" t="str">
        <x:v>https://doi.org/10.1016/j.jembe.2015.07.017</x:v>
      </x:c>
      <x:c r="J31" s="7" t="str">
        <x:v>Northeast Atlantic sponge beds are recognized as local hotspots for biodiversity and nutrient cycling. Despite their important functional role little is known about their sensitivity to effluents from the expanding hydrocarbon-, mining- and bottom trawling industry. Here, data on physiological and biological responses of the common demosponge Geodia barretti to short (4 h) and long-term (50 day) cyclic exposure of suspended particles are presented. The laboratory study showed that 4 hour pulse exposures with crushed rock particles at 500 mg l(-1) caused a 50% drop in oxygen consumption but with a quick recovery to pre-exposure oxygen consumption once suspended sediment loads returned to background levels. Long-term cyclic exposure (12 h each 24 h) for 29 days caused a permanent drop in oxygen consumption with 60% in sponges exposed to 50 mg l(-1) of crushed rock but with no apparent effect on the energy content of the sponge. Oxygen consumption and energy content of sponges exposed to natural bottom sediments at the same concentration remained unchanged. In conclusion, G. barretti appears to have well developed mechanisms to resist sediment stress, however, the study demonstrated that operations releasing large amounts of suspended crushed rock such as exploration drilling and submarine tailings disposal near sponge beds should be carefully planned to avoid long-term losses of benthic ecosystem functions, such as organic matter re-mineralization. (C) 2015 Elsevier B.V. All rights reserved.</x:v>
      </x:c>
      <x:c r="K31" s="11" t="str">
        <x:v>NO</x:v>
      </x:c>
      <x:c r="L31" s="7" t="str">
        <x:v>NOT_CONFIRMED</x:v>
      </x:c>
      <x:c r="M31" s="7" t="str"/>
      <x:c r="N31" s="7" t="str">
        <x:v>VERIFIED_BIBLIOGRAPHIC_DOCUMENT</x:v>
      </x:c>
      <x:c r="O31" s="7" t="str"/>
      <x:c r="P31" s="11" t="str"/>
      <x:c r="Q31" s="7" t="str"/>
      <x:c r="R31" s="7" t="str"/>
      <x:c r="S31" s="7" t="str"/>
      <x:c r="T31" s="7" t="str"/>
      <x:c r="U31" s="7" t="str"/>
      <x:c r="V31" s="7" t="str">
        <x:v>PRODUCTION_CORE_INCLUDE</x:v>
      </x:c>
      <x:c r="W31" s="7" t="str">
        <x:v>PROD-00849</x:v>
      </x:c>
    </x:row>
    <x:row r="32" ht="42" customHeight="1">
      <x:c r="A32" s="10" t="str">
        <x:v>A</x:v>
      </x:c>
      <x:c r="B32" s="7" t="str">
        <x:v>CWC-68E92EED76A2</x:v>
      </x:c>
      <x:c r="C32" s="7" t="str">
        <x:v>The occurrence of the cold-water coral Lophelia pertusa (Scleractinia) on oil and gas platforms in the North Sea: Colony growth, recruitment and environmental controls on distribution</x:v>
      </x:c>
      <x:c r="D32" s="7" t="str">
        <x:v>Susan E. Gass | J. Murray Roberts</x:v>
      </x:c>
      <x:c r="E32" s="11" t="str">
        <x:v>2005</x:v>
      </x:c>
      <x:c r="F32" s="7" t="str">
        <x:v>Marine Pollution Bulletin</x:v>
      </x:c>
      <x:c r="G32" s="7" t="str">
        <x:v>article</x:v>
      </x:c>
      <x:c r="H32" s="7" t="str">
        <x:v>10.1016/j.marpolbul.2005.10.002</x:v>
      </x:c>
      <x:c r="I32" s="7" t="str">
        <x:v>https://doi.org/10.1016/j.marpolbul.2005.10.002</x:v>
      </x:c>
      <x:c r="J32" s="7" t="str">
        <x:v>This study reports a newly established sub-population of Lophelia pertusa, the dominant reef-framework forming coral species in the north-east Atlantic, on oil and gas platforms in the northern North Sea. L. pertusa was positively identified on 13 of 14 platforms examined using existing oil and gas industry visual inspections. Two platforms were inspected in more detail to examine depth and colony size distributions. We recorded 947 colonies occurring between 59 and 132 in depth that coincides with cold Atlantic water at depths below the summer thermocline in the northern North Sea. We suggest that these colonies provide evidence for a planktonic larval stage of L. pertusa with recruits initially originating from populations in the north-east Atlantic and now self recruiting to the platforms. Size class distribution showed a continuous range of size classes, but with few outlying large colonies. The break between the largest colonies and the rest of the population is considered as the point when colonies began self recruiting to the platforms, resulting in greater colonization success. We present the first documented in situ colony growth rate estimate (26 +/- 5 mm yr(-1)) for L. pertusa based on 15 colonies from the Tern Alpha platform with evidence for yearly recruitment events starting the year the platform was installed. Evidence of contamination from drill muds and cuttings was observed on the Heather platform but appeared limited to regions close to drilling discharge points, where colonies experience partial as well as whole colony mortality. (c) 2005 Elsevier Ltd. All rights reserved.</x:v>
      </x:c>
      <x:c r="K32" s="11" t="str">
        <x:v>NO</x:v>
      </x:c>
      <x:c r="L32" s="7" t="str">
        <x:v>NOT_CONFIRMED</x:v>
      </x:c>
      <x:c r="M32" s="7" t="str"/>
      <x:c r="N32" s="7" t="str">
        <x:v>VERIFIED_BIBLIOGRAPHIC_DOCUMENT</x:v>
      </x:c>
      <x:c r="O32" s="7" t="str"/>
      <x:c r="P32" s="11" t="str"/>
      <x:c r="Q32" s="7" t="str"/>
      <x:c r="R32" s="7" t="str"/>
      <x:c r="S32" s="7" t="str"/>
      <x:c r="T32" s="7" t="str"/>
      <x:c r="U32" s="7" t="str"/>
      <x:c r="V32" s="7" t="str">
        <x:v>PRODUCTION_CORE_INCLUDE</x:v>
      </x:c>
      <x:c r="W32" s="7" t="str">
        <x:v>PROD-00871</x:v>
      </x:c>
    </x:row>
    <x:row r="33" ht="42" customHeight="1">
      <x:c r="A33" s="10" t="str">
        <x:v>A</x:v>
      </x:c>
      <x:c r="B33" s="7" t="str">
        <x:v>CWC-97AB95DDFDBD</x:v>
      </x:c>
      <x:c r="C33" s="7" t="str">
        <x:v>Ecophysiological and behavioural response of juveniles of the Chilean cold-water coral Caryophyllia (Caryophyllia) huinayensis to increasing sediment loads</x:v>
      </x:c>
      <x:c r="D33" s="7" t="str">
        <x:v>Melanie Fähse | Covadonga Orejas | Jürgen Titschack | Günter Försterra | Claudio Richter | Jürgen Laudien</x:v>
      </x:c>
      <x:c r="E33" s="11" t="str">
        <x:v>2023</x:v>
      </x:c>
      <x:c r="F33" s="7" t="str">
        <x:v>Scientific Reports</x:v>
      </x:c>
      <x:c r="G33" s="7" t="str">
        <x:v>article</x:v>
      </x:c>
      <x:c r="H33" s="7" t="str">
        <x:v>10.1038/s41598-023-47116-6</x:v>
      </x:c>
      <x:c r="I33" s="7" t="str">
        <x:v>https://doi.org/10.1038/s41598-023-47116-6</x:v>
      </x:c>
      <x:c r="J33" s="7" t="str">
        <x:v>Chilean Patagonia is a hotspot of biodiversity, harbouring cold-water corals (CWCs) that populate steep walls and overhangs of fjords and channels. Through anthropogenic activities such as deforestation, roadworks, aquafarming and increased landslide frequency, sediment input increases in the fjord region. While the absence of CWCs on moderately steep slopes has been suggested to reflect high vulnerability to sedimentation, experimental evidence has been lacking. Here, we investigated the sensitivity of CWCs to sediment stress, using juvenile Caryophyllia (Caryophyllia) huinayensis as a model. A 12-week aquarium experiment was conducted with three sediment loads: the average natural sediment concentration in Comau Fjord, 100- and 1000-fold higher sediment levels, expected from gravel road use and coastal erosion. Changes in coral mass and calyx dimensions, polyp expansion, tissue retraction and respiration were measured. For CWCs exposed to two and three order of magnitude higher sediment concentrations, 32% and 80% of the animals experienced a decrease in tissue cover, respectively, along with a decrease in respiration rate of 34% and 66%. Under the highest concentration corals showed reduced polyp expansion and a significantly reduced growth of similar to 95% compared to corals at natural concentration. The results show that C.huinayensis is affected by high sediment loads. As human activities that increase sedimentation steadily intensify, coastal planners need to consider detrimental effects on CWCs.</x:v>
      </x:c>
      <x:c r="K33" s="11" t="str">
        <x:v>YES</x:v>
      </x:c>
      <x:c r="L33" s="7" t="str">
        <x:v>FROZEN_PUBLIC_FULL_TEXT_LOCATION</x:v>
      </x:c>
      <x:c r="M33" s="7" t="str">
        <x:v>https://pmc.ncbi.nlm.nih.gov/articles/PMC10700329</x:v>
      </x:c>
      <x:c r="N33" s="7" t="str">
        <x:v>VERIFIED_BIBLIOGRAPHIC_DOCUMENT</x:v>
      </x:c>
      <x:c r="O33" s="7" t="str"/>
      <x:c r="P33" s="11" t="str"/>
      <x:c r="Q33" s="7" t="str"/>
      <x:c r="R33" s="7" t="str"/>
      <x:c r="S33" s="7" t="str"/>
      <x:c r="T33" s="7" t="str"/>
      <x:c r="U33" s="7" t="str"/>
      <x:c r="V33" s="7" t="str">
        <x:v>PRODUCTION_CORE_INCLUDE</x:v>
      </x:c>
      <x:c r="W33" s="7" t="str">
        <x:v>PROD-00921</x:v>
      </x:c>
    </x:row>
    <x:row r="34" ht="42" customHeight="1">
      <x:c r="A34" s="10" t="str">
        <x:v>A</x:v>
      </x:c>
      <x:c r="B34" s="7" t="str">
        <x:v>CWC-BEEEEFF3A865</x:v>
      </x:c>
      <x:c r="C34" s="7" t="str">
        <x:v>What do glass sponges do when no one is looking? Vazella pourtalesii: Responses to sediment deposition, passive locomotion, and contracting behavior</x:v>
      </x:c>
      <x:c r="D34" s="7" t="str">
        <x:v>Jordi Grinyó | Jacopo Aguzzi | Luciano Ortenzi | Ellen Kenchington | Simona Violino | Ulrike Hanz | Andreu Santín | Tim W. Nattkemper | Furu Mienis</x:v>
      </x:c>
      <x:c r="E34" s="11" t="str">
        <x:v>2024</x:v>
      </x:c>
      <x:c r="F34" s="7" t="str">
        <x:v>Deep Sea Research Part I Oceanographic Research Papers</x:v>
      </x:c>
      <x:c r="G34" s="7" t="str">
        <x:v>article</x:v>
      </x:c>
      <x:c r="H34" s="7" t="str">
        <x:v>10.1016/j.dsr.2024.104388</x:v>
      </x:c>
      <x:c r="I34" s="7" t="str">
        <x:v>https://doi.org/10.1016/j.dsr.2024.104388</x:v>
      </x:c>
      <x:c r="J34" s="7" t="str">
        <x:v>Behavioral response of deep-sea sponges can provide crucial insights into the mechanisms shaping energy fluxes and ecosystem functioning. Although some advances have been made, the behavior of deep-sea Hexactinellid still remain widely unknown. In the present study we address the glass sponge Vazella pourtalesii behavior. High- temporal resolution imaging and environmental data were acquired with an autonomous lander deployed in the Sambro Bank Sponge Conservation Area (Scotian Shelf) at a depth of 150 m, representing the upper limit of this deep-sea species' ' distribution and what is commonly regarded as the deep sea. For 94 days, a V. pourtalesii individual was monitored, providing quantitative information on its response to sediment deposition triggered by a storm, as well as on its passive locomotion and contractive behavior. Sediment was cleared from its surface within 72 h, which is highly relevant for its filtering capacity, indicating that this sponge species can cope with high suspended sediment concentrations. This enables it to occur on sedimentary environments like the Scotian Shelf. As observed in other deep-sea hexactinellids, the monitored individual engaged in rhythmic contractions, which appear to be driven by physiological process/es rather than environmental factors. During the study period, strong bottom currents (&gt;37 cm/s) toppled and displaced the monitored individual several times. Despite changes in position and orientation that can negatively impact the filtering capacity of sponges, no signs of deterioration were observed. V. pourtalesii's s vase-like body morphology and attachment to cobbles, as a gravitational center, may allow it to have a more homogeneous interaction with currents which may permit them to better cope with positional changes. Overall, this study highlights that deepsea Porifera display a wide array of phenological changes in response to both biotic and abiotic factors.</x:v>
      </x:c>
      <x:c r="K34" s="11" t="str">
        <x:v>YES</x:v>
      </x:c>
      <x:c r="L34" s="7" t="str">
        <x:v>FROZEN_PUBLIC_FULL_TEXT_LOCATION</x:v>
      </x:c>
      <x:c r="M34" s="7" t="str">
        <x:v>http://dx.doi.org/10.1016/j.dsr.2024.104388</x:v>
      </x:c>
      <x:c r="N34" s="7" t="str">
        <x:v>VERIFIED_BIBLIOGRAPHIC_DOCUMENT</x:v>
      </x:c>
      <x:c r="O34" s="7" t="str"/>
      <x:c r="P34" s="11" t="str"/>
      <x:c r="Q34" s="7" t="str"/>
      <x:c r="R34" s="7" t="str"/>
      <x:c r="S34" s="7" t="str"/>
      <x:c r="T34" s="7" t="str"/>
      <x:c r="U34" s="7" t="str"/>
      <x:c r="V34" s="7" t="str">
        <x:v>PRODUCTION_CORE_INCLUDE</x:v>
      </x:c>
      <x:c r="W34" s="7" t="str">
        <x:v>PROD-01174</x:v>
      </x:c>
    </x:row>
    <x:row r="35" ht="42" customHeight="1">
      <x:c r="A35" s="10" t="str">
        <x:v>A</x:v>
      </x:c>
      <x:c r="B35" s="7" t="str">
        <x:v>CWC-211BD982E48B</x:v>
      </x:c>
      <x:c r="C35" s="7" t="str">
        <x:v>The influence of near-bed hydrodynamic conditions on cold-water corals in the Viosca Knoll area, Gulf of Mexico</x:v>
      </x:c>
      <x:c r="D35" s="7" t="str">
        <x:v>Furu Mienis | Gerard Duineveld | Andrew J. Davies | Steve W. Ross | Harvey Seim | John M. Bane | Tjeerd C.E. van Weering</x:v>
      </x:c>
      <x:c r="E35" s="11" t="str">
        <x:v>2011</x:v>
      </x:c>
      <x:c r="F35" s="7" t="str">
        <x:v>Deep Sea Research Part I Oceanographic Research Papers</x:v>
      </x:c>
      <x:c r="G35" s="7" t="str">
        <x:v>article</x:v>
      </x:c>
      <x:c r="H35" s="7" t="str">
        <x:v>10.1016/j.dsr.2011.10.007</x:v>
      </x:c>
      <x:c r="I35" s="7" t="str">
        <x:v>https://doi.org/10.1016/j.dsr.2011.10.007</x:v>
      </x:c>
      <x:c r="J35" s="7" t="str">
        <x:v>Near-bed hydrodynamic conditions were recorded for almost one year in the Viosca Knoll area (lease block 826), one of the most well-developed cold-water coral habitats in the Gulf of Mexico. Here, a reef-like cold-water coral ecosystem, dominated by the coral Lophelia pertusa, resembles coral habitats found off the southeastern US coast and the North East Atlantic. Two landers were deployed in the vicinity and outside of the coral habitat and measured multiple near-bed parameters, including temperature, salinity, current speed and direction and optical and acoustic backscatter. Additionally, the lander deployed closest to the coral area was equipped with a sediment trap that collected settling particles over the period of deployment at 27 day intervals. Long-term monitoring showed, that in general, environmental parameters, such as temperature (6.5-11.6 degrees C), salinity (34.95-35.4) and current speed (average 8 cm s(-1), peak current speed up to 38 cm s(-1)) largely resembled conditions previously recorded within North East Atlantic coral habitats. Major differences between site VK 826 and coral areas in the NE Atlantic were the much higher particle load, and the origin of the particulate matter. Several significant events occurred during the deployment period beginning with an increase in current speed followed by a gradual increase in temperature and salinity, followed by a rapid decrease in temperature and salinity. Simultaneously with the decrease in temperature and salinity, the direction of the current changed from west to east and cold and less turbid water was transported upslope. The most prominent event occurred in July, when a westward flow lasted over 21 days. These events are consistent with bottom boundary layer dynamics influenced by friction (bottom Ekman layer). The Mississippi River discharges large quantities of sediment and dominates sedimentation regimes in the area. Furthermore, the Mississippi River disperses large amounts of terrestrial organic matter and nutrients, resulting in increased primary productivity, whereby marine organic matter is produced that will sink to the seafloor and can serve as food for the cold-water corals and associated species. As a result mass fluxes from the sediment trap were higher (1120-4479 mg m(-2) day(-1)) than those observed in the North East Atlantic and were highest during periods of westward-flow, which corresponded to warm turbid water. During eastward-flow, colder and less turbid water was pushed upslope, resulting in lower mass fluxes. Trap samples had a low CaCO3, high organic carbon content and high C/N ratios, suggesting a fluvial origin. The high sediment load in the water column can be a limiting factor for coral growth, especially since the corals can be smothered with sediment. However, eastward-flows provided periods of relatively clearer water that can remove sediment from the coral area and allow corals to expel sediment from their polyps. Around Viosca Knoll food supply comes from two possible sources. During April and June several fluorescence peaks were observed near the seabed, showing the arrival of phytodetritus in the area. Furthermore, a consistent diel vertical migration of zooplankton was observed that might provide an additional food source. (C) 2011 Elsevier Ltd. All rights reserved.</x:v>
      </x:c>
      <x:c r="K35" s="11" t="str">
        <x:v>NO</x:v>
      </x:c>
      <x:c r="L35" s="7" t="str">
        <x:v>NOT_CONFIRMED</x:v>
      </x:c>
      <x:c r="M35" s="7" t="str"/>
      <x:c r="N35" s="7" t="str">
        <x:v>VERIFIED_BIBLIOGRAPHIC_DOCUMENT</x:v>
      </x:c>
      <x:c r="O35" s="7" t="str"/>
      <x:c r="P35" s="11" t="str"/>
      <x:c r="Q35" s="7" t="str"/>
      <x:c r="R35" s="7" t="str"/>
      <x:c r="S35" s="7" t="str"/>
      <x:c r="T35" s="7" t="str"/>
      <x:c r="U35" s="7" t="str"/>
      <x:c r="V35" s="7" t="str">
        <x:v>PRODUCTION_CORE_INCLUDE</x:v>
      </x:c>
      <x:c r="W35" s="7" t="str">
        <x:v>PROD-01187</x:v>
      </x:c>
    </x:row>
    <x:row r="36" ht="42" customHeight="1">
      <x:c r="A36" s="10" t="str">
        <x:v>A</x:v>
      </x:c>
      <x:c r="B36" s="7" t="str">
        <x:v>CWC-18DA3B469F99</x:v>
      </x:c>
      <x:c r="C36" s="7" t="str">
        <x:v>Potential impacts of deep-sea trawling on the benthic ecosystem along the Northern European continental margin: a review</x:v>
      </x:c>
      <x:c r="D36" s="7" t="str">
        <x:v>John Gage | J. Murray Roberts | J. P. Hartley | J.D. Humphery</x:v>
      </x:c>
      <x:c r="E36" s="11" t="str">
        <x:v>2005</x:v>
      </x:c>
      <x:c r="F36" s="7" t="str">
        <x:v>BENTHIC HABITATS AND THE EFFECTS OF FISHING</x:v>
      </x:c>
      <x:c r="G36" s="7" t="str">
        <x:v>review</x:v>
      </x:c>
      <x:c r="H36" s="7" t="str"/>
      <x:c r="I36" s="7" t="str">
        <x:v>https://openalex.org/W2615274988</x:v>
      </x:c>
      <x:c r="J36" s="7" t="str">
        <x:v>Little is known of the sensitivities of deep seabed communities to anthropogenic disturbance. We collate and summarize the sparse data related to effects on the seabed of deep-sea trawling and provide a new analysis of potential impacts on the benthic community in this still largely pristine environment. We concentrate particularly on the northern European continental margin. Here, the upper continental slope is now being impacted by new demersal fisheries using aggressive trawling techniques. Direct effects are caused largely by the physical impact of the trawl, where emergent sessile epifauna, such as corals and massive sponges, are particularly vulnerable to damage. Damage to coldwater coral reefs in the northeastern Atlantic is irrecoverable at ecological time scales. Large. semi-buried glacial drop stones are uprooted in heavily trawled areas, impacting their rich covering of sessile epifauna. Seabed photographs suggest that trawl scour marks on soft sediment are widespread and persist longer than those in shallow sediments because of low rates of natural sedimentation. Loss of biogenic habitat complexity in the sediment and destruction or disruption of microhabitat provided by sessile epifaunal organisms caused by dragging trawls over infaunal communities disrupts sediment habitat structure. The scale of such physical impact, including possible smothering effects caused by sediment resuspended by the trawl, is unknown. Physical damage to sediment-rooted sessile epifauna, such as glass sponges, is inferred from seabed photographs, while removal of large motile epibenthic predators may alter community structure and ecosystem processes. Indirect effects on the deep seabed sediment community probably conform to disturbance effects seen in coastal benthos. High species diversity, rich in rare species, make it vulnerable to local-scale species loss. Effects of discards arriving as food falls to the bed are unknown and may cause a shift in the balance of ecological function through expansion of natural scavenger populations. We offer a unifying hypothesis from a deep-sea perspective. Coastal seas currently reflect stages in seabed community modification that predate rigorous scientific studies. Therefore, substantial habitat alteration and change in ecosystem function caused by loss of the most vulnerable, mainly sessile epibenthic species, probably occurred a long time ago. Deep-seabed areas off Europe are now starting to experience this early, probably most visible, stage from a previously pristine state.</x:v>
      </x:c>
      <x:c r="K36" s="11" t="str">
        <x:v>NO</x:v>
      </x:c>
      <x:c r="L36" s="7" t="str">
        <x:v>NOT_CONFIRMED</x:v>
      </x:c>
      <x:c r="M36" s="7" t="str"/>
      <x:c r="N36" s="7" t="str">
        <x:v>VERIFIED_BIBLIOGRAPHIC_DOCUMENT</x:v>
      </x:c>
      <x:c r="O36" s="7" t="str"/>
      <x:c r="P36" s="11" t="str"/>
      <x:c r="Q36" s="7" t="str"/>
      <x:c r="R36" s="7" t="str"/>
      <x:c r="S36" s="7" t="str"/>
      <x:c r="T36" s="7" t="str"/>
      <x:c r="U36" s="7" t="str"/>
      <x:c r="V36" s="7" t="str">
        <x:v>PRODUCTION_CORE_INCLUDE</x:v>
      </x:c>
      <x:c r="W36" s="7" t="str">
        <x:v>PROD-01195</x:v>
      </x:c>
    </x:row>
    <x:row r="37" ht="42" customHeight="1">
      <x:c r="A37" s="10" t="str">
        <x:v>A</x:v>
      </x:c>
      <x:c r="B37" s="7" t="str">
        <x:v>CWC-EF36FAEBFC86</x:v>
      </x:c>
      <x:c r="C37" s="7" t="str">
        <x:v>Sponge reefs in the Queen Charlotte Basin, Canada: controls on distribution, growth and development</x:v>
      </x:c>
      <x:c r="D37" s="7" t="str">
        <x:v>Kim W. Conway | Manfred Krautter | J V Barrie | Frank Whitney | Richard E. Thomson | Henry M. Reiswig | Helmut Lehnert | G. Mungov | Miriam Bertram</x:v>
      </x:c>
      <x:c r="E37" s="11" t="str">
        <x:v>2005</x:v>
      </x:c>
      <x:c r="F37" s="7" t="str">
        <x:v>Cold-Water Corals and Ecosystems</x:v>
      </x:c>
      <x:c r="G37" s="7" t="str">
        <x:v>book-chapter</x:v>
      </x:c>
      <x:c r="H37" s="7" t="str">
        <x:v>10.1007/3-540-27673-4_29</x:v>
      </x:c>
      <x:c r="I37" s="7" t="str">
        <x:v>https://doi.org/10.1007/3-540-27673-4_29</x:v>
      </x:c>
      <x:c r="J37" s="7" t="str">
        <x:v>Sponge reefs in the Queen Charlotte Basin exist at 165-240 m depth within tidally influenced shelf troughs subject to near bottom current velocities of 25-50 cm s(-1) where nutrient supply from coastal runoff is augmented by wind-induced upwelling of nutrient rich water from the adjacent continental slope. Large reef mounds to 21 m in elevation affect tidally driven bottom currents by deflecting water flows through extensive reef complexes that are up to 300 km(2) in area. Three hexactinellid species construct reefs by building a siliceous skeletal framework through several frame-building processes. These sponge reefs exist in waters with 90 to 150 mu M dissolved oxygen, a temperature range of 5.9 to 7.3 degrees C and salinity of 33.2 to 33.9 parts per thousand. Relatively high nutrient levels occur at the reef sites, including silica, which in bottom waters are typically &gt; 40 mu M and may be up to 80 mu M. A high dissolved silica level is potentially an important control on occurrence of these and other dense siliceous sponge populations. The sponge reefs are mainly confined to seafloor areas where exposed iceberg plough marks are common. Sediment accumulation rates are negligible on the relict, glacial surface where the reefs grow, and trapping of flocculated suspended particulate matter by hexactinosidan or framework skeleton hexactinellid sponges accounts for a large proportion of the reef matrix. Suspended sediment concentration is reduced within the nepheloid layer over reef sites suggesting efficient particle trapping by the sponges. The reef matrix sediments are enriched in organic carbon, nitrogen and carbonate, relative to surrounding and underlying sediments. The sponges baffle and trap suspended sediments from water masses, which in one trough have a residence time of approximately 6 days, ensuring a close association of the sponges with the bottom waters. The location of the reef complexes at the heads of canyons provide a means of regionally funnelling particulate material that sponges can trap to enrich their environment with organic carbon and biogenic silica. Like deep-sea coral reefs, the sponge reefs are a remote and poorly known ecosystem that can present logistical challenges and survey costs. Also like deep-sea coral reefs, many of the hexactinosidan sponge reefs have been damaged or destroyed by the groundfish trawl fishery.</x:v>
      </x:c>
      <x:c r="K37" s="11" t="str">
        <x:v>NO</x:v>
      </x:c>
      <x:c r="L37" s="7" t="str">
        <x:v>NOT_CONFIRMED</x:v>
      </x:c>
      <x:c r="M37" s="7" t="str"/>
      <x:c r="N37" s="7" t="str">
        <x:v>VERIFIED_BIBLIOGRAPHIC_DOCUMENT</x:v>
      </x:c>
      <x:c r="O37" s="7" t="str"/>
      <x:c r="P37" s="11" t="str"/>
      <x:c r="Q37" s="7" t="str"/>
      <x:c r="R37" s="7" t="str"/>
      <x:c r="S37" s="7" t="str"/>
      <x:c r="T37" s="7" t="str"/>
      <x:c r="U37" s="7" t="str"/>
      <x:c r="V37" s="7" t="str">
        <x:v>PRODUCTION_CORE_INCLUDE</x:v>
      </x:c>
      <x:c r="W37" s="7" t="str">
        <x:v>PROD-01257</x:v>
      </x:c>
    </x:row>
    <x:row r="38" ht="42" customHeight="1">
      <x:c r="A38" s="10" t="str">
        <x:v>A</x:v>
      </x:c>
      <x:c r="B38" s="7" t="str">
        <x:v>CWC-11E5AC155AAB</x:v>
      </x:c>
      <x:c r="C38" s="7" t="str">
        <x:v>The Magellan mound province in the Porcupine Basin</x:v>
      </x:c>
      <x:c r="D38" s="7" t="str">
        <x:v>Veerle A.I. Huvenne | W. R. Bailey | Patrick M. Shannon | J. Naeth | Rolando di Primio | J.-P. Henriet | Brian Horsfield | H. de Haas | A. Wheeler | Karine Olu</x:v>
      </x:c>
      <x:c r="E38" s="11" t="str">
        <x:v>2005</x:v>
      </x:c>
      <x:c r="F38" s="7" t="str">
        <x:v>International Journal of Earth Sciences</x:v>
      </x:c>
      <x:c r="G38" s="7" t="str">
        <x:v>article</x:v>
      </x:c>
      <x:c r="H38" s="7" t="str">
        <x:v>10.1007/s00531-005-0494-z</x:v>
      </x:c>
      <x:c r="I38" s="7" t="str">
        <x:v>https://doi.org/10.1007/s00531-005-0494-z</x:v>
      </x:c>
      <x:c r="J38" s="7" t="str">
        <x:v>The Magellan mound province is one of the three known provinces of carbonate mounds or cold-water coral banks in the Porcupine Seabight, west of Ireland. It has been studied in detail using a large and varied data set: 2D and 3D seismic data, sidescan sonar imagery and video data collected during ROV deployment have been used to describe the mounds in terms of origin, growth processes and burial. The aim of this paper is to present the Magellan mounds and their setting in an integrated, holistic way. More than 1,000 densely spaced and mainly buried mounds have been identified in the area. They all seem to be rooted on one seismic reflection, suggesting a sudden mound start-up. Their size and spatial distribution characteristics are presented, together with the present-day appearance of the few mounds that reach the seabed. The underlying geology has been studied by means of fault analysis and numerical basin modelling in an attempt to identify possible hydrocarbon migration pathways below or in the surroundings of the Magellan mounds. Although conclusive evidence concerning the processes of mound initiation proves to be elusive, the results of both fault analysis and 2D numerical modelling failed to identify, with confidence, any direct pathways for focused hydrocarbon flow to the Magellan province. Diffuse seepage however may have taken place, as drainage area modelling suggests a possible link between mound position and structural features in the Hovland-Magellan area. During mound development and growth, the interplay of currents and sedimentation seems to have been the most important control. Mounds which could not keep pace with the sedimentation rates were buried, and on the few mounds which maintained growth, only a few corals survive at present.</x:v>
      </x:c>
      <x:c r="K38" s="11" t="str">
        <x:v>YES</x:v>
      </x:c>
      <x:c r="L38" s="7" t="str">
        <x:v>FROZEN_PUBLIC_FULL_TEXT_LOCATION</x:v>
      </x:c>
      <x:c r="M38" s="7" t="str">
        <x:v>https://archimer.ifremer.fr/doc/2007/publication-2312.pdf</x:v>
      </x:c>
      <x:c r="N38" s="7" t="str">
        <x:v>VERIFIED_BIBLIOGRAPHIC_DOCUMENT</x:v>
      </x:c>
      <x:c r="O38" s="7" t="str"/>
      <x:c r="P38" s="11" t="str"/>
      <x:c r="Q38" s="7" t="str"/>
      <x:c r="R38" s="7" t="str"/>
      <x:c r="S38" s="7" t="str"/>
      <x:c r="T38" s="7" t="str"/>
      <x:c r="U38" s="7" t="str"/>
      <x:c r="V38" s="7" t="str">
        <x:v>PRODUCTION_CORE_INCLUDE</x:v>
      </x:c>
      <x:c r="W38" s="7" t="str">
        <x:v>PROD-01703</x:v>
      </x:c>
    </x:row>
    <x:row r="39" ht="42" customHeight="1">
      <x:c r="A39" s="10" t="str">
        <x:v>A</x:v>
      </x:c>
      <x:c r="B39" s="7" t="str">
        <x:v>CWC-3E49252B4405</x:v>
      </x:c>
      <x:c r="C39" s="7" t="str">
        <x:v>Cold-water coral banks and submarine landslides: a review</x:v>
      </x:c>
      <x:c r="D39" s="7" t="str">
        <x:v>Ben De Mol | Veerle A.I. Huvenne | Miquel Canals</x:v>
      </x:c>
      <x:c r="E39" s="11" t="str">
        <x:v>2008</x:v>
      </x:c>
      <x:c r="F39" s="7" t="str">
        <x:v>International Journal of Earth Sciences</x:v>
      </x:c>
      <x:c r="G39" s="7" t="str">
        <x:v>article</x:v>
      </x:c>
      <x:c r="H39" s="7" t="str">
        <x:v>10.1007/s00531-008-0372-6</x:v>
      </x:c>
      <x:c r="I39" s="7" t="str">
        <x:v>https://doi.org/10.1007/s00531-008-0372-6</x:v>
      </x:c>
      <x:c r="J39" s="7" t="str">
        <x:v>This paper aims to review the relation between cold-water coral bank development and submarine landslides. Both are common features on continental margins, but so far it has not been reviewed which effect-if at all-they may have upon each other. Indirect and direct relations between coral banks and landslides are evaluated here, based on four case studies: the Magellan Mound Province in the Porcupine Seabight, where fossil coral banks appear partly on top of a buried slide deposit; the Sula Ridge Reef Complex and the Storegga landslide both off mid-Norway; and the Mauritania coral bank province, associated with the Mauritanian Slide Complex. For each of these locations, positive and negative relationships between both features are discussed, based on available datasets. Locally submarine landslides might directly favour coral bank development by creating substratum where corals can settle on, enhancing turbulence due to abrupt seabed morphological variations and, in some cases, causing fluid seepage. In turn, some of these processes may contribute to increased food availability and lower sedimentation rates. Landslides can also affect coral bank development by direct erosion of the coral banks, and by the instantaneous increase of turbidity, which may smother the corals. On the other hand, coral banks might have a stabilising function and delay or stop the headwall retrogradation of submarine landslides. Although local relationships can be deduced from these case studies, no general and direct relationship exists between submarine landslides and cold-water coral banks.</x:v>
      </x:c>
      <x:c r="K39" s="11" t="str">
        <x:v>NO</x:v>
      </x:c>
      <x:c r="L39" s="7" t="str">
        <x:v>NOT_CONFIRMED</x:v>
      </x:c>
      <x:c r="M39" s="7" t="str"/>
      <x:c r="N39" s="7" t="str">
        <x:v>VERIFIED_BIBLIOGRAPHIC_DOCUMENT</x:v>
      </x:c>
      <x:c r="O39" s="7" t="str"/>
      <x:c r="P39" s="11" t="str"/>
      <x:c r="Q39" s="7" t="str"/>
      <x:c r="R39" s="7" t="str"/>
      <x:c r="S39" s="7" t="str"/>
      <x:c r="T39" s="7" t="str"/>
      <x:c r="U39" s="7" t="str"/>
      <x:c r="V39" s="7" t="str">
        <x:v>PRODUCTION_CORE_INCLUDE</x:v>
      </x:c>
      <x:c r="W39" s="7" t="str">
        <x:v>PROD-01849</x:v>
      </x:c>
    </x:row>
    <x:row r="40" ht="42" customHeight="1">
      <x:c r="A40" s="10" t="str">
        <x:v>A</x:v>
      </x:c>
      <x:c r="B40" s="7" t="str">
        <x:v>CWC-5AA3C1A61D7F</x:v>
      </x:c>
      <x:c r="C40" s="7" t="str">
        <x:v>Reproductive Seasonality of the Antarctic Sea Pen Malacobelemnon daytoni (Octocorallia, Pennatulacea, Kophobelemnidae)</x:v>
      </x:c>
      <x:c r="D40" s="7" t="str">
        <x:v>Natalia Servetto | Ricardo Sahade</x:v>
      </x:c>
      <x:c r="E40" s="11" t="str">
        <x:v>2016</x:v>
      </x:c>
      <x:c r="F40" s="7" t="str">
        <x:v>PLoS ONE</x:v>
      </x:c>
      <x:c r="G40" s="7" t="str">
        <x:v>article</x:v>
      </x:c>
      <x:c r="H40" s="7" t="str">
        <x:v>10.1371/journal.pone.0163152</x:v>
      </x:c>
      <x:c r="I40" s="7" t="str">
        <x:v>https://doi.org/10.1371/journal.pone.0163152</x:v>
      </x:c>
      <x:c r="J40" s="7" t="str">
        <x:v>The pennatulid Malacobelemnon daytoni is one of the dominant species in Potter Cove, Antarctica. Its abundance and range of distribution have increased in recent years probably related to climate change mediated alterations of environmental factors. This work is the second part of a study dealing on the reproductive ecology of Malacobelemnon daytoni, and aims to assess its reproductive seasonality over a two-year period. Sampling was carried out every month during 2009-2010 and samples were examined by histological analysis. Gametogenesis exhibited a seasonal pattern evidenced by the maturity stage index (MSI) and the number of mature oocytes and cysts throughout the year. Immature oocytes and spermatocytes were present year-round, but maturation was seasonal and it seems that more than one spawning per year was possible. These spawnings could be more linked with suspended particulate matter (SPM) (probably available via resuspension events) than with primary production pulses. This idea reinforces the hypothesis that winter time is not so stressful, in energy terms, in Potter Cove, which seems to depend on energy sources other than local phytoplankton production. There was not a strong inter-annual variability between the reproductive characteristics analyzed in 2009 and 2010; the only variable different was the size of oocytes (higher in 2009), suggesting different energy availability in each year, related with a higher concentration of SPM in 2009 (although it was not significant). Malacobelemnon daytoni could be the first reported Antarctic suspension feeder species that presents a reproductive cycle with more than a spawning event per year. This strategy would help to explain the success of this species in the Potter Cove ecosystem and in high ice-impacted areas.</x:v>
      </x:c>
      <x:c r="K40" s="11" t="str">
        <x:v>YES</x:v>
      </x:c>
      <x:c r="L40" s="7" t="str">
        <x:v>FROZEN_PUBLIC_FULL_TEXT_LOCATION</x:v>
      </x:c>
      <x:c r="M40" s="7" t="str">
        <x:v>https://journals.plos.org/plosone/article/file?id=10.1371/journal.pone.0163152&amp;type=printable</x:v>
      </x:c>
      <x:c r="N40" s="7" t="str">
        <x:v>VERIFIED_BIBLIOGRAPHIC_DOCUMENT</x:v>
      </x:c>
      <x:c r="O40" s="7" t="str"/>
      <x:c r="P40" s="11" t="str"/>
      <x:c r="Q40" s="7" t="str"/>
      <x:c r="R40" s="7" t="str"/>
      <x:c r="S40" s="7" t="str"/>
      <x:c r="T40" s="7" t="str"/>
      <x:c r="U40" s="7" t="str"/>
      <x:c r="V40" s="7" t="str">
        <x:v>PRODUCTION_CORE_INCLUDE</x:v>
      </x:c>
      <x:c r="W40" s="7" t="str">
        <x:v>PROD-01882</x:v>
      </x:c>
    </x:row>
    <x:row r="41" ht="42" customHeight="1">
      <x:c r="A41" s="10" t="str">
        <x:v>A</x:v>
      </x:c>
      <x:c r="B41" s="7" t="str">
        <x:v>CWC-FCEF2BEBFA85</x:v>
      </x:c>
      <x:c r="C41" s="7" t="str">
        <x:v>Vulnerability of six cold-water corals to sediment resuspension from bottom trawling fishing</x:v>
      </x:c>
      <x:c r="D41" s="7" t="str">
        <x:v>Meri Bilan | Andrea Gori | Jordi Grinyó | Marina Biel‐Cabanelas | Xènia Puigcerver-Segarra | Andreu Santín | Stefano Piraino | Sérgio Rossi | Pere Puig</x:v>
      </x:c>
      <x:c r="E41" s="11" t="str">
        <x:v>2023</x:v>
      </x:c>
      <x:c r="F41" s="7" t="str">
        <x:v>Marine Pollution Bulletin</x:v>
      </x:c>
      <x:c r="G41" s="7" t="str">
        <x:v>article</x:v>
      </x:c>
      <x:c r="H41" s="7" t="str">
        <x:v>10.1016/j.marpolbul.2023.115423</x:v>
      </x:c>
      <x:c r="I41" s="7" t="str">
        <x:v>https://doi.org/10.1016/j.marpolbul.2023.115423</x:v>
      </x:c>
      <x:c r="J41" s="7" t="str">
        <x:v>Bottom trawling can significantly affect benthic communities, directly through immediate removal of sessile organisms and indirectly through sediment resuspension. Submarine canyons, often surrounded by fishing grounds, are important habitats for cold-water corals (CWC). Vulnerability of CWCs to increased suspended sediment concentration (SSC) is key to understanding the severity of bottom trawling effects on those communities. Here we show survival, growth, and physiological response of six CWCs from a Mediterranean submarine canyon (Dendrophyllia cornigera, Desmophyllum dianthus, Desmophyllum pertusum, Madrepora oculata, Leiopathes glaberrima and Muriceides lepida), exposed to a long-term, aquarium-based sedimentary disturbance experiment. Compared to cup coral and octocoral, which did not exhibit symptoms of distress, our data indicate that colonial scleractinian corals and black coral, which experienced substantial polyp mortality in enhanced SSC treatments, are more vulnerable. Indirect impact of bottom trawling could thus contribute to structural simplification of CWC communities posing an additional stressor alongside with global climate change.</x:v>
      </x:c>
      <x:c r="K41" s="11" t="str">
        <x:v>YES</x:v>
      </x:c>
      <x:c r="L41" s="7" t="str">
        <x:v>FROZEN_PUBLIC_FULL_TEXT_LOCATION</x:v>
      </x:c>
      <x:c r="M41" s="7" t="str">
        <x:v>https://doi.org/10.1016/j.marpolbul.2023.115423</x:v>
      </x:c>
      <x:c r="N41" s="7" t="str">
        <x:v>VERIFIED_BIBLIOGRAPHIC_DOCUMENT</x:v>
      </x:c>
      <x:c r="O41" s="7" t="str"/>
      <x:c r="P41" s="11" t="str"/>
      <x:c r="Q41" s="7" t="str"/>
      <x:c r="R41" s="7" t="str"/>
      <x:c r="S41" s="7" t="str"/>
      <x:c r="T41" s="7" t="str"/>
      <x:c r="U41" s="7" t="str"/>
      <x:c r="V41" s="7" t="str">
        <x:v>PRODUCTION_CORE_INCLUDE</x:v>
      </x:c>
      <x:c r="W41" s="7" t="str">
        <x:v>PROD-01885</x:v>
      </x:c>
    </x:row>
    <x:row r="42" ht="42" customHeight="1">
      <x:c r="A42" s="10" t="str">
        <x:v>A</x:v>
      </x:c>
      <x:c r="B42" s="7" t="str">
        <x:v>CWC-E657DF58DD0D</x:v>
      </x:c>
      <x:c r="C42" s="7" t="str">
        <x:v>Detecting the impacts on UK sublittoral rock communities of resuspended sediments from fishing activity</x:v>
      </x:c>
      <x:c r="D42" s="7" t="str">
        <x:v>Hayley Hinchen | Jennifer Gallyot | Anita Carter | Matthew Ferguson | Karen E. Webb | Mike Nelson | Chris Jenkins</x:v>
      </x:c>
      <x:c r="E42" s="11" t="str">
        <x:v>2021</x:v>
      </x:c>
      <x:c r="F42" s="7" t="str">
        <x:v>Ecological Indicators</x:v>
      </x:c>
      <x:c r="G42" s="7" t="str">
        <x:v>article</x:v>
      </x:c>
      <x:c r="H42" s="7" t="str">
        <x:v>10.1016/j.ecolind.2021.107545</x:v>
      </x:c>
      <x:c r="I42" s="7" t="str">
        <x:v>https://doi.org/10.1016/j.ecolind.2021.107545</x:v>
      </x:c>
      <x:c r="J42" s="7" t="str">
        <x:v>Abstract Sublittoral rocky reef habitats host important ecological communities in UK waters, but their ecological condition is difficult to monitor. Monitoring methods based on seabed imagery data are prone to inconsistencies in both the identification and enumeration of species, which is a major hurdle in detecting meaningful ecological change. To overcome this problem, our study used a single monitoring dataset, collected using one standard method at the Pisces Reef Marine Protected Area (MPA) in 2016. We identified which method of data extraction from seabed imagery is best able to detect change along a gradient of anthropogenic resuspended sediments, which represents a pressure on the epifaunal community. We modelled the spatial distribution of the pressure, caused by nearby fishing activity, using an approach based on individual Vessel Monitoring System (VMS) ping data, rather than spatially homogenised data aggregated to a grid cell. We found that up to 22% of the biological variability across the three reef areas within the MPA is explained by the measured and derived environmental variables. The response of the epibenthic community at Pisces Reef MPA to the resuspended sediments pressure gradient is masked by commonly used univariate metrics such as species diversity and abundance of individuals. Conversely, a Threshold Indicator Taxa Analysis (TITAN) identifies community-level change caused by a low level of modelled resuspended sediments pressure. We found that a 0.05 decimal degree grid cell of seabed within 1 km of the MPA boundary, swept by demersal fishing gear as little as five times per year on average, can elicit such a community response. The data extraction metric best able to detect this change in the sublittoral rock community is the frequency of occurrence of taxa in images with an average field of view of 0.7 m2, using a 25-cell grid. More traditional metrics extracted from seabed imagery, such as raw counts and percentage cover estimates, are less sensitive to detecting such community change. The TITAN also identified taxon-level responses to the pressure gradient that could be considered for future monitoring programmes. The solitary coral genus Caryophyllia and cup-like sponges show a sharp and strong negative response to pressure exposure, and could represent a starting point for a future monitoring programme of UK sublittoral rock habitats. The implications for future monitoring are discussed, including survey design, environmental and biological data collection and improved pressure modelling.</x:v>
      </x:c>
      <x:c r="K42" s="11" t="str">
        <x:v>YES</x:v>
      </x:c>
      <x:c r="L42" s="7" t="str">
        <x:v>FROZEN_PUBLIC_FULL_TEXT_LOCATION</x:v>
      </x:c>
      <x:c r="M42" s="7" t="str">
        <x:v>https://www.sciencedirect.com/science/article/pii/S1470160X21002107/pdf</x:v>
      </x:c>
      <x:c r="N42" s="7" t="str">
        <x:v>VERIFIED_BIBLIOGRAPHIC_DOCUMENT</x:v>
      </x:c>
      <x:c r="O42" s="7" t="str"/>
      <x:c r="P42" s="11" t="str"/>
      <x:c r="Q42" s="7" t="str"/>
      <x:c r="R42" s="7" t="str"/>
      <x:c r="S42" s="7" t="str"/>
      <x:c r="T42" s="7" t="str"/>
      <x:c r="U42" s="7" t="str"/>
      <x:c r="V42" s="7" t="str">
        <x:v>PRODUCTION_CORE_INCLUDE</x:v>
      </x:c>
      <x:c r="W42" s="7" t="str">
        <x:v>PROD-01887</x:v>
      </x:c>
    </x:row>
    <x:row r="43" ht="42" customHeight="1">
      <x:c r="A43" s="10" t="str">
        <x:v>A</x:v>
      </x:c>
      <x:c r="B43" s="7" t="str">
        <x:v>CWC-58FA17825B7F</x:v>
      </x:c>
      <x:c r="C43" s="7" t="str">
        <x:v>Mine Waste and Acute Warming Induce Energetic Stress in the Deep-Sea Sponge Geodia atlantica and Coral Primnoa resedeaformis; Results From a Mesocosm Study</x:v>
      </x:c>
      <x:c r="D43" s="7" t="str">
        <x:v>Elliot Scanes | Tina Kutti | James Kar‐Hei Fang | Emma L. Johnston | Pauline M. Ross | Raymond J. Bannister</x:v>
      </x:c>
      <x:c r="E43" s="11" t="str">
        <x:v>2018</x:v>
      </x:c>
      <x:c r="F43" s="7" t="str">
        <x:v>Frontiers in Marine Science</x:v>
      </x:c>
      <x:c r="G43" s="7" t="str">
        <x:v>article</x:v>
      </x:c>
      <x:c r="H43" s="7" t="str">
        <x:v>10.3389/fmars.2018.00129</x:v>
      </x:c>
      <x:c r="I43" s="7" t="str">
        <x:v>https://doi.org/10.3389/fmars.2018.00129</x:v>
      </x:c>
      <x:c r="J43" s="7" t="str">
        <x:v>There is the potential for climate change to interact with pollution in all of the Earth's oceans. In the fjords of Norway, mine tailings are released into fjords generating suspended sediment plumes that impact deep-sea ecosystems. These same deep-sea ecosystems are expected to undergo periodic warming as climate change increases the frequency of down-welling events in fjords. It remains unknown how a polluted deep-sea ecosystem would respond to down-welling because multiple stressors will often interact in unpredictable ways. Here, we exposed two deep-sea foundation species; the gorgonian coral Primnoa resedaeformis and the demosponge Geodia atlantica to suspended sediment (10 mg L-1) and acute warming (+5 degrees C) in a factorial mesocosm experiment for 40 days. Physiology (respiration, nutrient flux) and cellular responses (lysosomal cell stability) were measured for both the coral and sponge. Exposure to elevated suspended sediment reduced metabolism, supressed silicate uptake and induced cellular instability of the sponge G. atlantica. However, combining sediment with warming caused G. atlantica to respire and excrete nitrogen at a greater rate. For the coral P resedaeformis, suspended sediments reduced O:N ratios after 40 days, however, warming had a greater effect on P resedaeformis physiology compared to sediment. Warming increased respiration, nitrogen excretion, and cellular instability which resulted in lower O:N ratios. We argue that suspended sediment and warming can act alone and also interact to cause significant harm to deep-sea biota, however responses are likely to be species-specific. Warming and pollution could interact in the deep-sea to cause mortality to the coral P resedaeformis and to a lesser extent, the sponge G. atlantica. As foundation species, reducing the abundance of deep sea corals and sponges would likely impact the ecosystems they support.</x:v>
      </x:c>
      <x:c r="K43" s="11" t="str">
        <x:v>YES</x:v>
      </x:c>
      <x:c r="L43" s="7" t="str">
        <x:v>FROZEN_PUBLIC_FULL_TEXT_LOCATION</x:v>
      </x:c>
      <x:c r="M43" s="7" t="str">
        <x:v>https://www.frontiersin.org/journals/marine-science/articles/10.3389/fmars.2018.00129</x:v>
      </x:c>
      <x:c r="N43" s="7" t="str">
        <x:v>VERIFIED_BIBLIOGRAPHIC_DOCUMENT</x:v>
      </x:c>
      <x:c r="O43" s="7" t="str"/>
      <x:c r="P43" s="11" t="str"/>
      <x:c r="Q43" s="7" t="str"/>
      <x:c r="R43" s="7" t="str"/>
      <x:c r="S43" s="7" t="str"/>
      <x:c r="T43" s="7" t="str"/>
      <x:c r="U43" s="7" t="str"/>
      <x:c r="V43" s="7" t="str">
        <x:v>PRODUCTION_CORE_INCLUDE</x:v>
      </x:c>
      <x:c r="W43" s="7" t="str">
        <x:v>PROD-01901</x:v>
      </x:c>
    </x:row>
    <x:row r="44" ht="42" customHeight="1">
      <x:c r="A44" s="10" t="str">
        <x:v>A</x:v>
      </x:c>
      <x:c r="B44" s="7" t="str">
        <x:v>CWC-51CF373DE179</x:v>
      </x:c>
      <x:c r="C44" s="7" t="str">
        <x:v>Assessment of Cu sub-lethal toxicity (LC50) in the cold-water gorgonian Dentomuricea meteor under a deep-sea mining activity scenario</x:v>
      </x:c>
      <x:c r="D44" s="7" t="str">
        <x:v>Inês Martins | António Godinho | Joana Goulart | Marina Carreiro‐Silva</x:v>
      </x:c>
      <x:c r="E44" s="11" t="str">
        <x:v>2018</x:v>
      </x:c>
      <x:c r="F44" s="7" t="str">
        <x:v>Environmental Pollution</x:v>
      </x:c>
      <x:c r="G44" s="7" t="str">
        <x:v>article</x:v>
      </x:c>
      <x:c r="H44" s="7" t="str">
        <x:v>10.1016/j.envpol.2018.05.040</x:v>
      </x:c>
      <x:c r="I44" s="7" t="str">
        <x:v>https://doi.org/10.1016/j.envpol.2018.05.040</x:v>
      </x:c>
      <x:c r="J44" s="7" t="str">
        <x:v>Previous aquaria-based experiments have shown dissolution and leaching of metals, especially copper (Cu), from the simulated sediment plumes generated during mining activities resulting in a pronounced increase of Cu contamination in the surrounding seawater. Metals are bioavailable to corals with food, through ingestion (particulate phase) and through tissue-facilitated transport (passive diffusion). With corals being particularly vulnerable to metal contamination, resuspension of metal-bearing sediments during mining activities represents an important ecological threat. This study was undertaken to evaluate the impact of acute copper exposure (LC50:06h ) on the survival of the cold-water octocoral Dentomuricea aff. meteor. The experimental design was divided in two stages. In stage one, a Cu range-finding toxicity test was performed using Cu dilutions in filtered seawater with concentrations of 0 (control); 60; 150; 250; 450; 600 mu g/L. Coral mortality was investigated visually based on the percent surface area of tissue changing from natural yellow colour to black colour indicative of tissue necrosis and death. In stage two, we used the results obtained in the range-finding experiment, to define sub-lethal Cu exposure treatments and exposed D. meteor to Cu concentration of 0 (control); 50; 100; 150; 200; 250 mu g/L for 96 h. The corals physical conditions were inspected daily and seawater conditions recorded. Corals were considered dead when all of their tissue turned black. The LC50 value was calculated with regression analysis following Probits methodology. Our results indicate that Cu LC50:96 h for the octocoral D. meteor is 137 mu g/L. (C) 2018 Elsevier Ltd. All rights reserved.</x:v>
      </x:c>
      <x:c r="K44" s="11" t="str">
        <x:v>NO</x:v>
      </x:c>
      <x:c r="L44" s="7" t="str">
        <x:v>NOT_CONFIRMED</x:v>
      </x:c>
      <x:c r="M44" s="7" t="str"/>
      <x:c r="N44" s="7" t="str">
        <x:v>VERIFIED_BIBLIOGRAPHIC_DOCUMENT</x:v>
      </x:c>
      <x:c r="O44" s="7" t="str"/>
      <x:c r="P44" s="11" t="str"/>
      <x:c r="Q44" s="7" t="str"/>
      <x:c r="R44" s="7" t="str"/>
      <x:c r="S44" s="7" t="str"/>
      <x:c r="T44" s="7" t="str"/>
      <x:c r="U44" s="7" t="str"/>
      <x:c r="V44" s="7" t="str">
        <x:v>PRODUCTION_CORE_INCLUDE</x:v>
      </x:c>
      <x:c r="W44" s="7" t="str">
        <x:v>PROD-01919</x:v>
      </x:c>
    </x:row>
    <x:row r="45" ht="42" customHeight="1">
      <x:c r="A45" s="10" t="str">
        <x:v>A</x:v>
      </x:c>
      <x:c r="B45" s="7" t="str">
        <x:v>CWC-66237F4DDA16</x:v>
      </x:c>
      <x:c r="C45" s="7" t="str">
        <x:v>Rapid respiratory responses of the deep-water sponge Geodia barretti exposed to suspended sediments</x:v>
      </x:c>
      <x:c r="D45" s="7" t="str">
        <x:v>Tjensvoll, I | Kutti, T | Fosså, JH | Bannister, RJ</x:v>
      </x:c>
      <x:c r="E45" s="11" t="str">
        <x:v>2013</x:v>
      </x:c>
      <x:c r="F45" s="7" t="str">
        <x:v>AQUATIC BIOLOGY</x:v>
      </x:c>
      <x:c r="G45" s="7" t="str">
        <x:v>JOUR</x:v>
      </x:c>
      <x:c r="H45" s="7" t="str">
        <x:v>10.3354/ab00522</x:v>
      </x:c>
      <x:c r="I45" s="7" t="str">
        <x:v>https://doi.org/10.3354/ab00522</x:v>
      </x:c>
      <x:c r="J45" s="7" t="str">
        <x:v>Sponges often dominate deep-water benthic faunal communities and can comprise up to 90% of the benthic biomass. Due to the large amount of water that they filter daily, sponges are an important link between benthic and pelagic ecosystems. Across the Tromso-flaket, Barents Sea, Norway, there are high biomasses of deep-water sponges. This area is also an important fishing ground, with fishing activity in some areas &gt;27000 trawl hours yr(-1). Bottom trawling suspends large quantities of sediment into the water column, with measured concentrations up to 500 mg l(-1). This is the first study on the effects of suspended sediment exposure on deep-water sponges. In a laboratory experiment, Geodia barretti (Bowerbank 1858) (Class: Demospongiae) was exposed to 5 different sediment concentrations (0, 10, 50, 100 and 500 mg l(-1)). Respiration rates were measured before, during and after the exposure period. The results demonstrate that G. barretti physiologically shuts down when exposed to concentrations of 100 mg l(-1) (86% reduction in respiration), with thresholds of responses occurring between 10 to 50 mg l(-1). However, rapid recovery to initial respiration levels directly after the exposure indicates that G. barretti can cope with a single short exposure to elevated sediment concentrations. Given the high bottom-trawling frequency in Tromso-flaket, sponges may be frequently exposed to suspended sediments. Therefore, it is important that further investigations on the effects of suspended sediments on filter feeding organisms focus on the effects of repeated and long-term suspended sediment exposures to evaluate the overall ecological impacts.</x:v>
      </x:c>
      <x:c r="K45" s="11" t="str">
        <x:v>NO</x:v>
      </x:c>
      <x:c r="L45" s="7" t="str">
        <x:v>NOT_CONFIRMED</x:v>
      </x:c>
      <x:c r="M45" s="7" t="str"/>
      <x:c r="N45" s="7" t="str">
        <x:v>VERIFIED_BIBLIOGRAPHIC_DOCUMENT</x:v>
      </x:c>
      <x:c r="O45" s="7" t="str"/>
      <x:c r="P45" s="11" t="str"/>
      <x:c r="Q45" s="7" t="str"/>
      <x:c r="R45" s="7" t="str"/>
      <x:c r="S45" s="7" t="str"/>
      <x:c r="T45" s="7" t="str"/>
      <x:c r="U45" s="7" t="str"/>
      <x:c r="V45" s="7" t="str">
        <x:v>PRODUCTION_CORE_INCLUDE</x:v>
      </x:c>
      <x:c r="W45" s="7" t="str">
        <x:v>PROD-01928</x:v>
      </x:c>
    </x:row>
    <x:row r="46" ht="42" customHeight="1">
      <x:c r="A46" s="10" t="str">
        <x:v>A</x:v>
      </x:c>
      <x:c r="B46" s="7" t="str">
        <x:v>CWC-332FE8900EB6</x:v>
      </x:c>
      <x:c r="C46" s="7" t="str">
        <x:v>Sponge biodiversity of Rathlin Island, Northern Ireland</x:v>
      </x:c>
      <x:c r="D46" s="7" t="str">
        <x:v>Picton, BE | Goodwin, CE</x:v>
      </x:c>
      <x:c r="E46" s="11" t="str">
        <x:v>2007</x:v>
      </x:c>
      <x:c r="F46" s="7" t="str">
        <x:v>JOURNAL OF THE MARINE BIOLOGICAL ASSOCIATION OF THE UNITED KINGDOM</x:v>
      </x:c>
      <x:c r="G46" s="7" t="str">
        <x:v>JOUR</x:v>
      </x:c>
      <x:c r="H46" s="7" t="str">
        <x:v>10.1017/s0025315407058122</x:v>
      </x:c>
      <x:c r="I46" s="7" t="str">
        <x:v>https://doi.org/10.1017/s0025315407058122</x:v>
      </x:c>
      <x:c r="J46" s="7" t="str">
        <x:v>Sponges from Rathlin Island, Northern Ireland were sampled during a six week SCUBA diving expedition. One hundred and twenty-eight species were recorded, 29 of which were previously undescribed. With previous records a total of 134 species are now known from Rathlin, the richness of its sponge community makes it a key site for sponges in Europe. Eight new species are described: Axinella parva, Spongosorites calcicola, Crella plana, Phorbas punctata, Lissodendoryx (Ectyodoryx) jenjonesae, Antho (Antho) granditoxa, Hymeraphia breeni and Hymeraphia elongata and information is given on the poorly known species Axinella pyramidata, Myxilla (Styloptilon) ancoratum, Antho (Antho) brattegardi, Clathria (Microciona) laevis and Plocamionida tylotata. Extension of the range of Hexadella racovitzai is discussed. A small bay of particularly high nature conservation importance for sponges was identified, many of the rarer species were limited to this area. Sponge populations on the east coast of Rathlin seem to have been damaged by dredging.</x:v>
      </x:c>
      <x:c r="K46" s="11" t="str">
        <x:v>NO</x:v>
      </x:c>
      <x:c r="L46" s="7" t="str">
        <x:v>NOT_CONFIRMED</x:v>
      </x:c>
      <x:c r="M46" s="7" t="str"/>
      <x:c r="N46" s="7" t="str">
        <x:v>VERIFIED_BIBLIOGRAPHIC_DOCUMENT</x:v>
      </x:c>
      <x:c r="O46" s="7" t="str"/>
      <x:c r="P46" s="11" t="str"/>
      <x:c r="Q46" s="7" t="str"/>
      <x:c r="R46" s="7" t="str"/>
      <x:c r="S46" s="7" t="str"/>
      <x:c r="T46" s="7" t="str"/>
      <x:c r="U46" s="7" t="str"/>
      <x:c r="V46" s="7" t="str">
        <x:v>PRODUCTION_CORE_INCLUDE</x:v>
      </x:c>
      <x:c r="W46" s="7" t="str">
        <x:v>PROD-01967</x:v>
      </x:c>
    </x:row>
    <x:row r="47" ht="42" customHeight="1">
      <x:c r="A47" s="10" t="str">
        <x:v>A</x:v>
      </x:c>
      <x:c r="B47" s="7" t="str">
        <x:v>CWC-3402E0944343</x:v>
      </x:c>
      <x:c r="C47" s="7" t="str">
        <x:v>Sedimentation in McMurdo Sound, Antarctica: a disturbance mechanism for benthic invertebrates</x:v>
      </x:c>
      <x:c r="D47" s="7" t="str">
        <x:v>Marc Slattery | Dan. Bockus</x:v>
      </x:c>
      <x:c r="E47" s="11" t="str">
        <x:v>1997</x:v>
      </x:c>
      <x:c r="F47" s="7" t="str">
        <x:v>Polar Biology</x:v>
      </x:c>
      <x:c r="G47" s="7" t="str">
        <x:v>article</x:v>
      </x:c>
      <x:c r="H47" s="7" t="str">
        <x:v>10.1007/s003000050174</x:v>
      </x:c>
      <x:c r="I47" s="7" t="str">
        <x:v>https://doi.org/10.1007/s003000050174</x:v>
      </x:c>
      <x:c r="J47" s="7" t="str">
        <x:v>A slumping event that occurred on permanent transect lines from 12- to 30-m depth located at Arrival Heights, McMurdo Sound, Antarctica in 1993, provided an opportunity to examine the effects of sediment-mediated disturbance on the benthic invertebrate fauna. The disturbance had a particularly significant impact on the soft coral Alcyonium paessleri, which resulted in 84% colony mortality downslope from the slump site compared to an average annual mortality rate of 14% on control transects. In contrast, anchor ice at the same site accounted for removal of 5% of the population in 1992. Laboratory experiments with A. paessleri colonies under conditions of periodic sediment resuspension indicate that the soft corals are susceptible to this form of disturbance. Our observations suggest they are capable of shedding fine silt in the laboratory, which might explain the presence of A. paessleri in soft-sediment sites around McMurdo Sound. However, scarring by larger gravel in laboratory assays was slow to heal and may account for much of the colony mortality we observed. Several invertebrate-barren rocky benthic regions in McMurdo Sound were suggestive of historical slumping events. Given the removal of the smaller grain size sediments from these areas - a typically slow process it appears these communities are slow to recover. The long-term effects of sedimentation on the benthic communities are unknown, but the impact on A. paessleri, one of the most common and fastest growing species, suggests this disturbance mechanism could lead to significant restructuring of these communities.</x:v>
      </x:c>
      <x:c r="K47" s="11" t="str">
        <x:v>NO</x:v>
      </x:c>
      <x:c r="L47" s="7" t="str">
        <x:v>NOT_CONFIRMED</x:v>
      </x:c>
      <x:c r="M47" s="7" t="str"/>
      <x:c r="N47" s="7" t="str">
        <x:v>VERIFIED_BIBLIOGRAPHIC_DOCUMENT</x:v>
      </x:c>
      <x:c r="O47" s="7" t="str"/>
      <x:c r="P47" s="11" t="str"/>
      <x:c r="Q47" s="7" t="str"/>
      <x:c r="R47" s="7" t="str"/>
      <x:c r="S47" s="7" t="str"/>
      <x:c r="T47" s="7" t="str"/>
      <x:c r="U47" s="7" t="str"/>
      <x:c r="V47" s="7" t="str">
        <x:v>PRODUCTION_CORE_INCLUDE</x:v>
      </x:c>
      <x:c r="W47" s="7" t="str">
        <x:v>PROD-02025</x:v>
      </x:c>
    </x:row>
    <x:row r="48" ht="42" customHeight="1">
      <x:c r="A48" s="10" t="str">
        <x:v>A</x:v>
      </x:c>
      <x:c r="B48" s="7" t="str">
        <x:v>CWC-6D4E13859C62</x:v>
      </x:c>
      <x:c r="C48" s="7" t="str">
        <x:v>Factors affecting the distribution of ahermatypic corals on the Mediterranean seafloor: a probabilistic study</x:v>
      </x:c>
      <x:c r="D48" s="7" t="str">
        <x:v>R. Sartori</x:v>
      </x:c>
      <x:c r="E48" s="11" t="str">
        <x:v>1980</x:v>
      </x:c>
      <x:c r="F48" s="7" t="str">
        <x:v>Deep Sea Research Part A Oceanographic Research Papers</x:v>
      </x:c>
      <x:c r="G48" s="7" t="str">
        <x:v>article</x:v>
      </x:c>
      <x:c r="H48" s="7" t="str">
        <x:v>10.1016/0198-0149(80)90079-5</x:v>
      </x:c>
      <x:c r="I48" s="7" t="str">
        <x:v>https://doi.org/10.1016/0198-0149(80)90079-5</x:v>
      </x:c>
      <x:c r="J48" s="7" t="str">
        <x:v>Over 300 dredge samples from the Mediterranean Sea were examined from a probabilistic viewpont for the presence of ahermatypic corals. The frequency of finding the organisms decreases with increasing depth, indicating either that the density of coral specimens decreases or that colonizable substrates become scarcer upon going deeper, and the frequency depends on the type of substrate. Particulate seafloors are more poorly colonized than rocky ones. The former have practically no corals below 400 m depth, while the latter may be colonized with the same intensity regardless of the depth. The settlement of Mediterranean deep-sea corals is favored by the absence of sedimented fine materials; this factor is controlled by the physiography and hydrodynamic energy of the environment.</x:v>
      </x:c>
      <x:c r="K48" s="11" t="str">
        <x:v>NO</x:v>
      </x:c>
      <x:c r="L48" s="7" t="str">
        <x:v>NOT_CONFIRMED</x:v>
      </x:c>
      <x:c r="M48" s="7" t="str"/>
      <x:c r="N48" s="7" t="str">
        <x:v>VERIFIED_BIBLIOGRAPHIC_DOCUMENT</x:v>
      </x:c>
      <x:c r="O48" s="7" t="str"/>
      <x:c r="P48" s="11" t="str"/>
      <x:c r="Q48" s="7" t="str"/>
      <x:c r="R48" s="7" t="str"/>
      <x:c r="S48" s="7" t="str"/>
      <x:c r="T48" s="7" t="str"/>
      <x:c r="U48" s="7" t="str"/>
      <x:c r="V48" s="7" t="str">
        <x:v>PRODUCTION_CORE_INCLUDE</x:v>
      </x:c>
      <x:c r="W48" s="7" t="str">
        <x:v>PROD-02373</x:v>
      </x:c>
    </x:row>
    <x:row r="49" ht="42" customHeight="1">
      <x:c r="A49" s="10" t="str">
        <x:v>A</x:v>
      </x:c>
      <x:c r="B49" s="7" t="str">
        <x:v>CWC-908DE8E1A7FD</x:v>
      </x:c>
      <x:c r="C49" s="7" t="str">
        <x:v>Barite and barium in sediments and coral skeletons around the hydrocarbon exploration drilling site in the Træna Deep, Norwegian Sea</x:v>
      </x:c>
      <x:c r="D49" s="7" t="str">
        <x:v>Aivo Lepland | Pål Buhl‐Mortensen</x:v>
      </x:c>
      <x:c r="E49" s="11" t="str">
        <x:v>2007</x:v>
      </x:c>
      <x:c r="F49" s="7" t="str">
        <x:v>Environmental Geology</x:v>
      </x:c>
      <x:c r="G49" s="7" t="str">
        <x:v>article</x:v>
      </x:c>
      <x:c r="H49" s="7" t="str">
        <x:v>10.1007/s00254-007-1145-4</x:v>
      </x:c>
      <x:c r="I49" s="7" t="str">
        <x:v>https://doi.org/10.1007/s00254-007-1145-4</x:v>
      </x:c>
      <x:c r="J49" s="7" t="str">
        <x:v>Barite and barium concentrations in bottom sediments and coral skeletons from the vicinity of the hydrocarbon exploration well drilled in 1992-1993 in the Traena Deep, Norwegian Sea have been studied to assess the spreading of the drilling mud and related ecological effects on Lophelia petrusa coral reefs. Sand size barite crystals derived from the drilling mud and elevated Ba concentrations in surface (0-2 cm) sediments were found up to 4 km from the exploration drilling site. Pb-210-dating results on sediment cores indicate that Ba-rich surface intervals (0-2 cm) record ca. 20 years of sedimentation history, and connect Ba enrichment with exploration drilling. The geographic distribution of Ba contents in sediments allowed the reconstruction of the drilling mud dispersal pattern showing transport eastward from the drilling site, consistent with the prevailing current directions. The presence of relatively coarse-grained sediments and barite crystals trapped in coral polyps, ca. 500 m down current from the drilling site, reflects the elevated turbulence and sediment supply during the drilling activity. This elevated sediment dispersion likely placed a stress upon the coral reefs, but due to strong currents that effectively dilute episodic drilling waste and sediment discharges, the damage does not appear significant.</x:v>
      </x:c>
      <x:c r="K49" s="11" t="str">
        <x:v>NO</x:v>
      </x:c>
      <x:c r="L49" s="7" t="str">
        <x:v>NOT_CONFIRMED</x:v>
      </x:c>
      <x:c r="M49" s="7" t="str"/>
      <x:c r="N49" s="7" t="str">
        <x:v>VERIFIED_BIBLIOGRAPHIC_DOCUMENT</x:v>
      </x:c>
      <x:c r="O49" s="7" t="str"/>
      <x:c r="P49" s="11" t="str"/>
      <x:c r="Q49" s="7" t="str"/>
      <x:c r="R49" s="7" t="str"/>
      <x:c r="S49" s="7" t="str"/>
      <x:c r="T49" s="7" t="str"/>
      <x:c r="U49" s="7" t="str"/>
      <x:c r="V49" s="7" t="str">
        <x:v>PRODUCTION_CORE_INCLUDE</x:v>
      </x:c>
      <x:c r="W49" s="7" t="str">
        <x:v>PROD-02389</x:v>
      </x:c>
    </x:row>
    <x:row r="50" ht="42" customHeight="1">
      <x:c r="A50" s="10" t="str">
        <x:v>A</x:v>
      </x:c>
      <x:c r="B50" s="7" t="str">
        <x:v>CWC-0D39211C7AE3</x:v>
      </x:c>
      <x:c r="C50" s="7" t="str">
        <x:v>RECOLONIZATION OF DEEP-WATER HARD-SUBSTRATE COMMUNITIES - POTENTIAL IMPACTS FROM OIL AND GAS DEVELOPMENT</x:v>
      </x:c>
      <x:c r="D50" s="7" t="str">
        <x:v>LISSNER, AL | TAGHON, GL | DIENER, DR | SCHROETER, SC | DIXON, JD</x:v>
      </x:c>
      <x:c r="E50" s="11" t="str">
        <x:v>1991</x:v>
      </x:c>
      <x:c r="F50" s="7" t="str">
        <x:v>ECOLOGICAL APPLICATIONS</x:v>
      </x:c>
      <x:c r="G50" s="7" t="str">
        <x:v>JOUR</x:v>
      </x:c>
      <x:c r="H50" s="7" t="str">
        <x:v>10.2307/1941755</x:v>
      </x:c>
      <x:c r="I50" s="7" t="str">
        <x:v>https://doi.org/10.2307/1941755</x:v>
      </x:c>
      <x:c r="J50" s="7" t="str">
        <x:v>Many regions of the California, USA, outer continental shelf are subject to ongoing and planned oil and gas development, but there is very limited information on the recolonization and recovery of deep-water (e.g., 60-300 m) hard-substrate communities that may be affected by these activities. The purpose of this study was to summarize existing information on these communities, thereby aiding regulatory agencies and the scientific community in assessing potential impacts, and to determine whether additional studies may be necessary. Impacts from anchoring and increased sedimentation (e.g., from discharges of drilling muds and cuttings) are particularly likely. Sedimentation effects can be natural or human-induced, but habitat disruption from anchoring has few natural parallels. Disturbances from anchoring and sedimentation generally produce Type 1 and Type 2 patches (sensu Sousa 1985, Connell and Keough 1985), respectively. Recolonization and recovery of these patches in deep-water environments are expected to vary in accordance with current models of succession (i.e., inhibition, facilitation, and tolerance). However, inhibition responses likely will predominate in Type 1 patches, particularly high-relief (e.g., &gt; 1 m) areas, where regrowth from the margins often is possible from sheet-like or mound-like forms such as those represented by many sponge taxa. In contrast, recovery of Type 2 patches, particularly low-relief (e.g., &lt; 1 m) areas, also may be influenced primarily by inhibition responses, but the relative lack of nearby colonizers suggests greater numbers of species interactions in accordance with facilitation and tolerance models. This is due to the greater stochastic component associated with recolonization by long-range larval dispersers. Recovery is expected to require a few to several years to accomplish for these deep-water hard-substrate communities. This is based on estimated times for recovery of slow-growing, generally long-lived taxa, such as some vase sponges and anemones characteristic of many high-relief areas, and the uncertainties of long-range recruitment coupled with variable sediment movement in many low-relief areas.</x:v>
      </x:c>
      <x:c r="K50" s="11" t="str">
        <x:v>NO</x:v>
      </x:c>
      <x:c r="L50" s="7" t="str">
        <x:v>NOT_CONFIRMED</x:v>
      </x:c>
      <x:c r="M50" s="7" t="str"/>
      <x:c r="N50" s="7" t="str">
        <x:v>VERIFIED_BIBLIOGRAPHIC_DOCUMENT</x:v>
      </x:c>
      <x:c r="O50" s="7" t="str"/>
      <x:c r="P50" s="11" t="str"/>
      <x:c r="Q50" s="7" t="str"/>
      <x:c r="R50" s="7" t="str"/>
      <x:c r="S50" s="7" t="str"/>
      <x:c r="T50" s="7" t="str"/>
      <x:c r="U50" s="7" t="str"/>
      <x:c r="V50" s="7" t="str">
        <x:v>PRODUCTION_CORE_INCLUDE</x:v>
      </x:c>
      <x:c r="W50" s="7" t="str">
        <x:v>PROD-02398</x:v>
      </x:c>
    </x:row>
    <x:row r="51" ht="42" customHeight="1">
      <x:c r="A51" s="10" t="str">
        <x:v>A</x:v>
      </x:c>
      <x:c r="B51" s="7" t="str">
        <x:v>CWC-D670110C23A8</x:v>
      </x:c>
      <x:c r="C51" s="7" t="str">
        <x:v>A Time Series Study of Lophelia pertusa and Reef Megafauna Responses to Drill Cuttings Exposure on the Norwegian Margin</x:v>
      </x:c>
      <x:c r="D51" s="7" t="str">
        <x:v>Autun Purser</x:v>
      </x:c>
      <x:c r="E51" s="11" t="str">
        <x:v>2015</x:v>
      </x:c>
      <x:c r="F51" s="7" t="str">
        <x:v>PLoS ONE</x:v>
      </x:c>
      <x:c r="G51" s="7" t="str">
        <x:v>article</x:v>
      </x:c>
      <x:c r="H51" s="7" t="str">
        <x:v>10.1371/journal.pone.0134076</x:v>
      </x:c>
      <x:c r="I51" s="7" t="str">
        <x:v>https://doi.org/10.1371/journal.pone.0134076</x:v>
      </x:c>
      <x:c r="J51" s="7" t="str">
        <x:v>As hotspots of local biodiversity in the deep sea, preservation of cold-water coral reef communities is of great importance. In European waters the most extensive reefs are found at depths of 300 - 500 m on the continental margin. In Norwegian waters many of these reefs are located in areas of interest for oil and gas exploration and production. In this study drilling was carried out in the Morvin drill field in proximity to a number of small Lophelia pertusa coral reefs (closest reefs 100 m upstream and 350 m downstream of point of waste drill material release). In a novel monitoring study, ROV video surveys of 9 reefs were conducted prior, during, immediately after and &gt; 1 year after drilling operations. Behavior of coral polyps inhabiting reefs exposed to differing concentrations of drill cuttings and drilling fluids (waste drilling material) were compared. Levels of expected exposure to these waste materials were determined for each reef by modelling drill cutting transport following release, using accurate in-situ hydrodynamic data collected during the drilling period and drill cutting discharge data as parameters of a dispersal model. The presence / absence of associate reef species (Acesta excavata, Paragorgia arborea and Primnoa resedaeformis) were also determined from each survey video. There were no significant differences in Lophelia pertusa polyp behavior in corals modelled to have been exposed to pulses of &gt; 25 ppm drill cutting material and those modelled to be exposed to negligible concentrations of material. From the video data collected, there were no observed degradations of reef structure over time, nor reductions of associate fauna abundance, regardless of modelled exposure concentration at any of the surveyed reefs. This study focused exclusively on adult fauna, and did not assess the potential hazard posed by waste drilling material to coral or other larvae. Video data was collected by various ROV's, using different camera and lighting setups throughout the survey campaign, making comparison of observations prior, during and post drilling problematic. A standardization of video monitoring in future monitoring campaigns is recommended.</x:v>
      </x:c>
      <x:c r="K51" s="11" t="str">
        <x:v>YES</x:v>
      </x:c>
      <x:c r="L51" s="7" t="str">
        <x:v>FROZEN_PUBLIC_FULL_TEXT_LOCATION</x:v>
      </x:c>
      <x:c r="M51" s="7" t="str">
        <x:v>https://journals.plos.org/plosone/article/file?id=10.1371/journal.pone.0134076&amp;type=printable</x:v>
      </x:c>
      <x:c r="N51" s="7" t="str">
        <x:v>VERIFIED_BIBLIOGRAPHIC_DOCUMENT</x:v>
      </x:c>
      <x:c r="O51" s="7" t="str"/>
      <x:c r="P51" s="11" t="str"/>
      <x:c r="Q51" s="7" t="str"/>
      <x:c r="R51" s="7" t="str"/>
      <x:c r="S51" s="7" t="str"/>
      <x:c r="T51" s="7" t="str"/>
      <x:c r="U51" s="7" t="str"/>
      <x:c r="V51" s="7" t="str">
        <x:v>PRODUCTION_CORE_INCLUDE</x:v>
      </x:c>
      <x:c r="W51" s="7" t="str">
        <x:v>PROD-02401</x:v>
      </x:c>
    </x:row>
    <x:row r="52" ht="42" customHeight="1">
      <x:c r="A52" s="10" t="str">
        <x:v>A</x:v>
      </x:c>
      <x:c r="B52" s="7" t="str">
        <x:v>CWC-28BEEE0E5914</x:v>
      </x:c>
      <x:c r="C52" s="7" t="str">
        <x:v>Effects of water flow and drilling waste exposure on polyp behaviour in Lophelia pertusa</x:v>
      </x:c>
      <x:c r="D52" s="7" t="str">
        <x:v>Pål Buhl‐Mortensen | Eirik Tenningen | Anne Britt Skar Tysseland</x:v>
      </x:c>
      <x:c r="E52" s="11" t="str">
        <x:v>2015</x:v>
      </x:c>
      <x:c r="F52" s="7" t="str">
        <x:v>Marine Biology Research</x:v>
      </x:c>
      <x:c r="G52" s="7" t="str">
        <x:v>article</x:v>
      </x:c>
      <x:c r="H52" s="7" t="str">
        <x:v>10.1080/17451000.2014.993651</x:v>
      </x:c>
      <x:c r="I52" s="7" t="str">
        <x:v>https://doi.org/10.1080/17451000.2014.993651</x:v>
      </x:c>
      <x:c r="J52" s="7" t="str">
        <x:v>Polyp expansion state in Lophelia pertusa was studied in situ close to an oil rig during the drilling of a well (Statoil) off mid-Norway, in order to study possible effects on behaviour. The expansion state was monitored visually during the discharge of drill cuttings at one reef exposed to discharges and one not exposed. The reef situated down-current from the discharge point was monitored during 5 days and 15 h with a benthic lander equipped with a stills camera and current meter. This reef was exposed to drill cuttings 11 times during the monitoring. The total exposure time was 13 h 37 min. A remotely operated vehicle was used to provide additional images from both reefs for comparison. The proportion of polyps in different expansion states did not differ significantly between exposed corals and unexposed corals. Rather, changes in polyp behaviour were related to changes in current direction and velocity. A higher proportion of the polyps was expanded during periods with prevailing northeasterly currents compared to northwesterly. This could be related to quantity and type of food particles or the polyps' local position in the colony relative to current direction. There was also a clear difference in the degree of polyp expansion between polyps situated high up in the colony compared to low. This may be related to local environmental differences representing different hydrodynamic conditions. Whether or not there are effects of exposure to drill cuttings over a longer timescale than the observed 5 days and 15 h cannot be concluded from this study.</x:v>
      </x:c>
      <x:c r="K52" s="11" t="str">
        <x:v>NO</x:v>
      </x:c>
      <x:c r="L52" s="7" t="str">
        <x:v>NOT_CONFIRMED</x:v>
      </x:c>
      <x:c r="M52" s="7" t="str"/>
      <x:c r="N52" s="7" t="str">
        <x:v>VERIFIED_BIBLIOGRAPHIC_DOCUMENT</x:v>
      </x:c>
      <x:c r="O52" s="7" t="str"/>
      <x:c r="P52" s="11" t="str"/>
      <x:c r="Q52" s="7" t="str"/>
      <x:c r="R52" s="7" t="str"/>
      <x:c r="S52" s="7" t="str"/>
      <x:c r="T52" s="7" t="str"/>
      <x:c r="U52" s="7" t="str"/>
      <x:c r="V52" s="7" t="str">
        <x:v>PRODUCTION_CORE_INCLUDE</x:v>
      </x:c>
      <x:c r="W52" s="7" t="str">
        <x:v>PROD-02402</x:v>
      </x:c>
    </x:row>
    <x:row r="53" ht="42" customHeight="1">
      <x:c r="A53" s="10" t="str">
        <x:v>A</x:v>
      </x:c>
      <x:c r="B53" s="7" t="str">
        <x:v>CWC-B8875818DF77</x:v>
      </x:c>
      <x:c r="C53" s="7" t="str">
        <x:v>Fish farm effluents cause metabolic depression, reducing energy stores and growth in the reef-forming coral Lophelia pertusa</x:v>
      </x:c>
      <x:c r="D53" s="7" t="str">
        <x:v>Kutti, T | Legrand, E | Husa, V | Olsen, SA | Gjelsvik, O | Carvajalino-Fernandez, M | Johnsen, IA</x:v>
      </x:c>
      <x:c r="E53" s="11" t="str">
        <x:v>2022</x:v>
      </x:c>
      <x:c r="F53" s="7" t="str">
        <x:v>AQUACULTURE ENVIRONMENT INTERACTIONS</x:v>
      </x:c>
      <x:c r="G53" s="7" t="str">
        <x:v>JOUR</x:v>
      </x:c>
      <x:c r="H53" s="7" t="str">
        <x:v>10.3354/aei00442</x:v>
      </x:c>
      <x:c r="I53" s="7" t="str">
        <x:v>https://doi.org/10.3354/aei00442</x:v>
      </x:c>
      <x:c r="J53" s="7" t="str">
        <x:v>Cold-water corals (CWCs) have come under increasing pressure from human activities over the last decades. Of particular concern in Norway is the potential impact of open net pen aquaculture on CWC reefs formed by Lophelia pertusa, a threatened and declining habitat. We conducted a 1 yr in situ transplantation experiment and corresponding field measurements of 2 reefs located close to fish farms to elucidate the impacts of particulate organic waste released from the farms on coral colonies. Our study provided new evidence of negative impacts of organic effluents on L. pertusa ecophysiology. After 1 yr, both naturally occurring and transplanted corals, at distances ranging from 250 m to 1 km downstream of what would be regarded as an average-sized Norwegian fish farm, exhibited depressed metabolic rates compared to corals outside the main depositional footprint of the farms. The metabolic depression impeded energy acquisition, reducing growth and energy reserves by up to 70 and 50%, respectively. No clear threshold for significant biological impact could be detected along a distance gradient. Instead, a gradual decrease in metabolic rates, growth and lipid reserves occurred with increasing modelled sedimentation rate of organic waste from the farm. The strong statistical correlation between oxygen consumption, growth, energy stores and sedimentation rates implies that predictions of the short-term impact of aquaculture effluents on L. pertusa ecophysiology and CWC reef development may be achievable in the future. This would significantly improve the ability of management to make informed decisions on the licensing of new farms near CWC reefs.</x:v>
      </x:c>
      <x:c r="K53" s="11" t="str">
        <x:v>NO</x:v>
      </x:c>
      <x:c r="L53" s="7" t="str">
        <x:v>NOT_CONFIRMED</x:v>
      </x:c>
      <x:c r="M53" s="7" t="str"/>
      <x:c r="N53" s="7" t="str">
        <x:v>VERIFIED_BIBLIOGRAPHIC_DOCUMENT</x:v>
      </x:c>
      <x:c r="O53" s="7" t="str"/>
      <x:c r="P53" s="11" t="str"/>
      <x:c r="Q53" s="7" t="str"/>
      <x:c r="R53" s="7" t="str"/>
      <x:c r="S53" s="7" t="str"/>
      <x:c r="T53" s="7" t="str"/>
      <x:c r="U53" s="7" t="str"/>
      <x:c r="V53" s="7" t="str">
        <x:v>PRODUCTION_CORE_INCLUDE</x:v>
      </x:c>
      <x:c r="W53" s="7" t="str">
        <x:v>PROD-02415</x:v>
      </x:c>
    </x:row>
    <x:row r="54" ht="42" customHeight="1">
      <x:c r="A54" s="10" t="str">
        <x:v>A</x:v>
      </x:c>
      <x:c r="B54" s="7" t="str">
        <x:v>CWC-76DBA2881C9F</x:v>
      </x:c>
      <x:c r="C54" s="7" t="str">
        <x:v>Eco-physiological responses of cold-water soft corals to anthropogenic sedimentation and particle shape</x:v>
      </x:c>
      <x:c r="D54" s="7" t="str">
        <x:v>Stephanie Liefmann | Johanna Järnegren | Geir Johnsen | Fiona Murray</x:v>
      </x:c>
      <x:c r="E54" s="11" t="str">
        <x:v>2018</x:v>
      </x:c>
      <x:c r="F54" s="7" t="str">
        <x:v>Journal of Experimental Marine Biology and Ecology</x:v>
      </x:c>
      <x:c r="G54" s="7" t="str">
        <x:v>article</x:v>
      </x:c>
      <x:c r="H54" s="7" t="str">
        <x:v>10.1016/j.jembe.2018.02.009</x:v>
      </x:c>
      <x:c r="I54" s="7" t="str">
        <x:v>https://doi.org/10.1016/j.jembe.2018.02.009</x:v>
      </x:c>
      <x:c r="J54" s="7" t="str">
        <x:v>Anthropogenic disturbances in the marine environment, such as excessive sedimentation produced by mine tailing deposition, can affect the physiology and behavior of benthic fauna. Mine tailing particles are sharper than natural occurring sediments and could therefore cause more harmful effects. Cold-water coral ecosystems are among the habitats in danger of being affected by dumping of mine tailings. Cold-water corals have very slow growth rates but the habitats they provide support high levels of species richness and functional diversity. Two soft corals, cauliflower coral (Duva florida) and red tree coral (Primnoa resedaeformis), were chosen as model organisms to study the effects of excessive mine tailing sedimentation and the effect of particle shape in a three-month long experiment. The corals were exposed to a concentration of 8 mg l(-1) of two types of sediment, rough edged mine tailings (MT) and smooth edged spherical glass beads (GB). Glass beads were mimicking natural, smooth sediment, and both sediment types had a particle size distribution of 0-63 mu m. Sedimentation effects were investigated using C-13/C-12 isotope ratio to assess food intake, time-lapse images to determine the effects on tissue and behavior, and histological samples to identify and quantify particles inside the polyps. When exposed to MT, food intake decreased significantly in D. florida and increased significantly in P. resedaeformis. Duva florida exhibited a behavioral response under MT treatment, being contracted for prolonged periods. Primnoa resedaeformis lost a significant proportion of polyps under both treatments. Histology showed mine tailing particles of sizes &lt; 10 mu m embedded in the tissue of both species. The results suggest that sharp particles are more harmful than smooth edged particles to both species, in the size range studied. This should be considered when assessing the impacts of anthropogenic activities that increase sedimentation in benthic habitats.</x:v>
      </x:c>
      <x:c r="K54" s="11" t="str">
        <x:v>YES</x:v>
      </x:c>
      <x:c r="L54" s="7" t="str">
        <x:v>FROZEN_PUBLIC_FULL_TEXT_LOCATION</x:v>
      </x:c>
      <x:c r="M54" s="7" t="str">
        <x:v>https://www.research.ed.ac.uk/en/publications/868d8144-5e3c-450f-8b6c-2eb0be9df80d</x:v>
      </x:c>
      <x:c r="N54" s="7" t="str">
        <x:v>VERIFIED_BIBLIOGRAPHIC_DOCUMENT</x:v>
      </x:c>
      <x:c r="O54" s="7" t="str"/>
      <x:c r="P54" s="11" t="str"/>
      <x:c r="Q54" s="7" t="str"/>
      <x:c r="R54" s="7" t="str"/>
      <x:c r="S54" s="7" t="str"/>
      <x:c r="T54" s="7" t="str"/>
      <x:c r="U54" s="7" t="str"/>
      <x:c r="V54" s="7" t="str">
        <x:v>PRODUCTION_CORE_INCLUDE</x:v>
      </x:c>
      <x:c r="W54" s="7" t="str">
        <x:v>PROD-02418</x:v>
      </x:c>
    </x:row>
    <x:row r="55" ht="42" customHeight="1">
      <x:c r="A55" s="10" t="str">
        <x:v>A</x:v>
      </x:c>
      <x:c r="B55" s="7" t="str">
        <x:v>CWC-2ABD7D958E3C</x:v>
      </x:c>
      <x:c r="C55" s="7" t="str">
        <x:v>The red coral populations of the gulfs of Naples and Salerno: human impact and deep mass mortalities</x:v>
      </x:c>
      <x:c r="D55" s="7" t="str">
        <x:v>Giorgio Bavestrello | Marzia Bo | Simonepietro Canese | Roberto Sandulli | Riccardo Cattaneo‐Vietti</x:v>
      </x:c>
      <x:c r="E55" s="11" t="str">
        <x:v>2014</x:v>
      </x:c>
      <x:c r="F55" s="7" t="str">
        <x:v>The European Zoological Journal</x:v>
      </x:c>
      <x:c r="G55" s="7" t="str">
        <x:v>article</x:v>
      </x:c>
      <x:c r="H55" s="7" t="str">
        <x:v>10.1080/11250003.2014.950349</x:v>
      </x:c>
      <x:c r="I55" s="7" t="str">
        <x:v>https://doi.org/10.1080/11250003.2014.950349</x:v>
      </x:c>
      <x:c r="J55" s="7" t="str">
        <x:v>The existence of deep red coral (Corallium rubrum) banks in the gulfs of Naples and Salerno (South Tyrrhenian Sea, Mediterranean Sea) is well known in historical records due to the heavy coral harvesting that occurred during the 19th and 20th centuries, by both trawling gears and scuba diving. In 2010 and 2012, during two Remotely Operated Vehicle (ROV) surveys on board of the Research Vessel (R/V) Astrea, red coral banks were detected in 16 of the 25 visited localities, between 45 and 150 m depth. Seven of these banks, located in the inner part of the Gulf of Naples, were already explored in 1918 by a scientific survey reporting the occurrence of red coral. Healthy populations (densities &gt; 90 colonies m−2) were present only around the coasts of the Phlegrean Islands (Ischia and Procida Islands). Very low densities (&lt; 5 colonies m−2) or the absence of coral were recorded in all other sites of the Gulf of Naples (including all historical re-visited banks), and a variable percentage of dead colonies was observed. This evidence suggests a huge state of stress likely favoured by the hydrodynamic conditions in the Gulf, enhancing water pollution and sedimentation rate. Finally, the documented high fishing pressure plays a major role in the hard-bottom communities’ degradation. A recent mass mortality episode was also recorded along the Amalfi coast, around Li Galli Islands (Gulf of Salerno), at a depth range between 80 and 100 m, where the mortality affected 80% of the largest colonies, estimated to be around 70 years old. Several possible reasons for this mortality have been hypothesised, such as the formation of local down-welling currents inducing an unusual drop of the thermocline, or sudden warm water emissions (sulphur springs) in an area characterised by important volcanic activities, or local landslides generating turbidity currents along the steep slopes.</x:v>
      </x:c>
      <x:c r="K55" s="11" t="str">
        <x:v>YES</x:v>
      </x:c>
      <x:c r="L55" s="7" t="str">
        <x:v>FROZEN_PUBLIC_FULL_TEXT_LOCATION</x:v>
      </x:c>
      <x:c r="M55" s="7" t="str">
        <x:v>https://www.tandfonline.com/doi/epdf/10.1080/11250003.2014.950349?needAccess=true&amp;role=button</x:v>
      </x:c>
      <x:c r="N55" s="7" t="str">
        <x:v>VERIFIED_BIBLIOGRAPHIC_DOCUMENT</x:v>
      </x:c>
      <x:c r="O55" s="7" t="str"/>
      <x:c r="P55" s="11" t="str"/>
      <x:c r="Q55" s="7" t="str"/>
      <x:c r="R55" s="7" t="str"/>
      <x:c r="S55" s="7" t="str"/>
      <x:c r="T55" s="7" t="str"/>
      <x:c r="U55" s="7" t="str"/>
      <x:c r="V55" s="7" t="str">
        <x:v>PRODUCTION_CORE_INCLUDE</x:v>
      </x:c>
      <x:c r="W55" s="7" t="str">
        <x:v>PROD-03058</x:v>
      </x:c>
    </x:row>
    <x:row r="56" ht="42" customHeight="1">
      <x:c r="A56" s="10" t="str">
        <x:v>A</x:v>
      </x:c>
      <x:c r="B56" s="7" t="str">
        <x:v>CWC-D966A89B2B12</x:v>
      </x:c>
      <x:c r="C56" s="7" t="str">
        <x:v>Hydrodynamic controls on cold-water coral growth and carbonate-mound development at the SW and SE Rockall Trough Margin, NE Atlantic Ocean</x:v>
      </x:c>
      <x:c r="D56" s="7" t="str">
        <x:v>Furu Mienis | Henko de Stigter | Martin White | Gerard Duineveld | H. de Haas | Tj.C.E. van Weering</x:v>
      </x:c>
      <x:c r="E56" s="11" t="str">
        <x:v>2007</x:v>
      </x:c>
      <x:c r="F56" s="7" t="str">
        <x:v>Deep Sea Research Part I Oceanographic Research Papers</x:v>
      </x:c>
      <x:c r="G56" s="7" t="str">
        <x:v>article</x:v>
      </x:c>
      <x:c r="H56" s="7" t="str">
        <x:v>10.1016/j.dsr.2007.05.013</x:v>
      </x:c>
      <x:c r="I56" s="7" t="str">
        <x:v>https://doi.org/10.1016/j.dsr.2007.05.013</x:v>
      </x:c>
      <x:c r="J56" s="7" t="str">
        <x:v>Long-term (&lt;= 1 -year) records obtained by seabed observatories (BOBO) and repeated (24-h) CTD casts show the presence of a highly energetic environment in and around two cold-water carbonate-mound provinces, on the Southwest and Southeast Rockall Trough (SW and SE RT) margin. Carbonate mounds, covered with a thriving coral cover, are embedded mainly in the Eastern North Atlantic Water (ENAW) and are observed in a confined bathymetric zone between 600 and 1000 m water depth. Cold-water corals seem to be restricted in their growth by temperature and food availability. The presence of living corals on top of the carbonate mounds appears linked to the presence of internal waves and tidal currents in the water column, and consequently carbonate mound structures are shaped by the local hydrodynamic regime. Mound clusters have an elongated shape perpendicular to the regional contours and corresponding to the direction of the highest current speeds. On the SW RT margin temperature, salinity and current speed reflect a diurnal tidal pattern, causing maximum temperature variations at 900 m depth of more than 3 degrees C. Current speeds up to 45 cm s(-1) occur, and a residual current of 10 cm s(-1) is directed along the slope to the southwest. At the SE RT margin the temperature of the bottom water fluctuates more than I degrees C with a semi-diurnal tidal cyclicity. Amplitudes of average and peak current speeds here are comparable with those measured on the southwest margin, but the residual current in this area is directed to the northeast. Tidal currents and internal waves at both margins force the formation of intermediate and bottom nepheloid layers and bring fresh food particles with increased velocity to the mounds. The distribution of corals in both mound areas is considered directly related to the presence of enhanced turbidity. An increase in temperature can be directly related to an increase in the amount of particles in the water column. Current velocity increases when a transition occurs from cold to warm waters. High current velocities prevent local sedimentation but provide sufficient food particles to the corals, so that the corals thrive at the mound summits. (C) 2007 Elsevier Ltd. All rights reserved.</x:v>
      </x:c>
      <x:c r="K56" s="11" t="str">
        <x:v>NO</x:v>
      </x:c>
      <x:c r="L56" s="7" t="str">
        <x:v>NOT_CONFIRMED</x:v>
      </x:c>
      <x:c r="M56" s="7" t="str"/>
      <x:c r="N56" s="7" t="str">
        <x:v>VERIFIED_BIBLIOGRAPHIC_DOCUMENT</x:v>
      </x:c>
      <x:c r="O56" s="7" t="str"/>
      <x:c r="P56" s="11" t="str"/>
      <x:c r="Q56" s="7" t="str"/>
      <x:c r="R56" s="7" t="str"/>
      <x:c r="S56" s="7" t="str"/>
      <x:c r="T56" s="7" t="str"/>
      <x:c r="U56" s="7" t="str"/>
      <x:c r="V56" s="7" t="str">
        <x:v>PRODUCTION_CORE_INCLUDE</x:v>
      </x:c>
      <x:c r="W56" s="7" t="str">
        <x:v>PROD-03323</x:v>
      </x:c>
    </x:row>
    <x:row r="57" ht="42" customHeight="1">
      <x:c r="A57" s="10" t="str">
        <x:v>A</x:v>
      </x:c>
      <x:c r="B57" s="7" t="str">
        <x:v>CWC-3AA8D91257F1</x:v>
      </x:c>
      <x:c r="C57" s="7" t="str">
        <x:v>Long term monitoring of cold-water coral growth shows response to episodic meteorological events in the NW Mediterranean</x:v>
      </x:c>
      <x:c r="D57" s="7" t="str">
        <x:v>Leïla Chapron | Nadine Le Bris | Xavier Durrieu de Madron | Erwan Péru | Pierre E. Galand | Franck Lartaud</x:v>
      </x:c>
      <x:c r="E57" s="11" t="str">
        <x:v>2020</x:v>
      </x:c>
      <x:c r="F57" s="7" t="str">
        <x:v>Deep Sea Research Part I Oceanographic Research Papers</x:v>
      </x:c>
      <x:c r="G57" s="7" t="str">
        <x:v>article</x:v>
      </x:c>
      <x:c r="H57" s="7" t="str">
        <x:v>10.1016/j.dsr.2020.103255</x:v>
      </x:c>
      <x:c r="I57" s="7" t="str">
        <x:v>https://doi.org/10.1016/j.dsr.2020.103255</x:v>
      </x:c>
      <x:c r="J57" s="7" t="str">
        <x:v>Abstract Lophelia pertusa and Madrepora oculata, two cosmopolitan coral species of the deep ocean, build reef-like structures that provide ecological niches and nurseries for many species. These cold-water corals (CWCs) are thought to grow slowly making associated communities vulnerable to disturbance. However, in situ growth dynamics remains poorly known. The aim of this study was thus to quantify the growth rates of L. pertusa and M. oculata and their variability in relation to environmental conditions that are expected to influence their physiological functions. Such data can be useful to ground-truth physiological rates and improve the prediction of their sensitivity to global change. As part of a long-term monitoring programme of the Lacaze-Duthiers canyon in the Northwestern Mediterranean Sea, fragments of the two species were repeatedly sampled and redeployed at 530 m depth, from November 2010 to May 2018. Budding rates and linear extensions of L. pertusa and M. oculata were hence quantified and their inter-annual variability documented. The data were analyzed in relation to in situ monitoring of water temperature, current speed and turbidity. This study presents the longest in situ survey of the growth patterns of L. pertusa and M. oculata. The observations revealed a strong inter-annual variability in growth rates, both for L. pertusa and M. oculata, and suggest an influence of hydrological conditions on the growth dynamics. Particularly, as regard to episodic water plumes events such as NW wind-induced dense water shelf cascades and E-SE storm-induced downwellings in autumn-winter. In this study, three types of responses were observed: (i) high budding rates but low colony linear extension for strong water plume events periods (ii) high budding rates and high linear extension associated to organic matter supply during medium intensity water plume events, and (iii) low budding rates, low linear extension and high mortality due to high sedimentation rates in the absence of water plume event. Lophelia pertusa appears to be more resilient to these hydrological changes. Disturbance of the regional circulation patterns, in addition to longer-term change in water mass properties such as warming, deoxygenation and acidification, are thus important parameters to consider for CWC reef stability. This is particularly important since increased storminess, and decreased cascading/downwelling intensities, are predicted to occur within the next century.</x:v>
      </x:c>
      <x:c r="K57" s="11" t="str">
        <x:v>YES</x:v>
      </x:c>
      <x:c r="L57" s="7" t="str">
        <x:v>FROZEN_PUBLIC_FULL_TEXT_LOCATION</x:v>
      </x:c>
      <x:c r="M57" s="7" t="str">
        <x:v>https://www.sciencedirect.com/science/article/am/pii/S0967063720300431</x:v>
      </x:c>
      <x:c r="N57" s="7" t="str">
        <x:v>VERIFIED_BIBLIOGRAPHIC_DOCUMENT</x:v>
      </x:c>
      <x:c r="O57" s="7" t="str"/>
      <x:c r="P57" s="11" t="str"/>
      <x:c r="Q57" s="7" t="str"/>
      <x:c r="R57" s="7" t="str"/>
      <x:c r="S57" s="7" t="str"/>
      <x:c r="T57" s="7" t="str"/>
      <x:c r="U57" s="7" t="str"/>
      <x:c r="V57" s="7" t="str">
        <x:v>PRODUCTION_CORE_INCLUDE</x:v>
      </x:c>
      <x:c r="W57" s="7" t="str">
        <x:v>PROD-03344</x:v>
      </x:c>
    </x:row>
    <x:row r="58" ht="42" customHeight="1">
      <x:c r="A58" s="10" t="str">
        <x:v>A</x:v>
      </x:c>
      <x:c r="B58" s="7" t="str">
        <x:v>CWC-65AE72CF2A22</x:v>
      </x:c>
      <x:c r="C58" s="7" t="str">
        <x:v>Spatial response of hard- and mixed-bottom benthic epifauna to organic enrichment from salmon aquaculture in northern Norway</x:v>
      </x:c>
      <x:c r="D58" s="7" t="str">
        <x:v>Katherine Dunlop | Astrid Harendza | Raymond J. Bannister | Nigel Keeley</x:v>
      </x:c>
      <x:c r="E58" s="11" t="str">
        <x:v>2021</x:v>
      </x:c>
      <x:c r="F58" s="7" t="str">
        <x:v>Aquaculture Environment Interactions</x:v>
      </x:c>
      <x:c r="G58" s="7" t="str">
        <x:v>article</x:v>
      </x:c>
      <x:c r="H58" s="7" t="str">
        <x:v>10.3354/aei00419</x:v>
      </x:c>
      <x:c r="I58" s="7" t="str">
        <x:v>https://doi.org/10.3354/aei00419</x:v>
      </x:c>
      <x:c r="J58" s="7" t="str">
        <x:v>Norwegian Atlantic salmon aquaculture is continuing to expand in northern regions dominated by hard- and mixed-bottom substrates. Such habitats contain rich benthic epifaunal communities, including sponges and other sessile invertebrates susceptible to the impacts of particulate material released from finfish farms. Here, conventional soft-sediment sampling techniques are unable to discern the impacts of farm waste, and new monitoring methods and indicator taxa must be identified. This study improves understanding of the impacts of particulate waste released from salmon farms on the density and structure of benthic epifaunal communities on mixed- and hard-bottom substrates. The diversity, density, and composition of epifaunal communities and visually conspicuous benthic infauna were recorded in towed camera transects along the enrichment gradient (similar to 50-800 m) of 3 salmon farms in northern Norway. Elevated fluxes of particulate material in the vicinity of all farms significantly affected epifaunal community composition, as did the coverage of some key substrate types. The defecated mounds of lugworms and the seastar Asterias rubens were notably more abundant near the farms where fluxes were elevated. The sponges Polymastia spp. and Phakellia spp. and the soft coral Duva florida showed significant declines in density with increasing sedimentation and were principal taxa in communities at natural sedimentation levels. Results identify taxa with both positive and negative spatial associations to particulate waste released from finfish farms and the potential for the development of an epifauna indicator-based index for monitoring the environmental impacts of aquaculture in hard- and mixed-bottom dominated substrates.</x:v>
      </x:c>
      <x:c r="K58" s="11" t="str">
        <x:v>NO</x:v>
      </x:c>
      <x:c r="L58" s="7" t="str">
        <x:v>NOT_CONFIRMED</x:v>
      </x:c>
      <x:c r="M58" s="7" t="str"/>
      <x:c r="N58" s="7" t="str">
        <x:v>VERIFIED_BIBLIOGRAPHIC_DOCUMENT</x:v>
      </x:c>
      <x:c r="O58" s="7" t="str"/>
      <x:c r="P58" s="11" t="str"/>
      <x:c r="Q58" s="7" t="str"/>
      <x:c r="R58" s="7" t="str"/>
      <x:c r="S58" s="7" t="str"/>
      <x:c r="T58" s="7" t="str"/>
      <x:c r="U58" s="7" t="str"/>
      <x:c r="V58" s="7" t="str">
        <x:v>PRODUCTION_CORE_INCLUDE</x:v>
      </x:c>
      <x:c r="W58" s="7" t="str">
        <x:v>PROD-03373</x:v>
      </x:c>
    </x:row>
    <x:row r="59" ht="42" customHeight="1">
      <x:c r="A59" s="10" t="str">
        <x:v>A</x:v>
      </x:c>
      <x:c r="B59" s="7" t="str">
        <x:v>CWC-4EF1547612E7</x:v>
      </x:c>
      <x:c r="C59" s="7" t="str">
        <x:v>Suspended Particulate Loading on the Macrobenthos in a Highly Turbid Fjord: Knight Inlet, British Columbia</x:v>
      </x:c>
      <x:c r="D59" s="7" t="str">
        <x:v>George E. Farrow | James P. M. Syvitski | Verena Tunnicliffe</x:v>
      </x:c>
      <x:c r="E59" s="11" t="str">
        <x:v>1983</x:v>
      </x:c>
      <x:c r="F59" s="7" t="str">
        <x:v>Canadian Journal of Fisheries and Aquatic Sciences</x:v>
      </x:c>
      <x:c r="G59" s="7" t="str">
        <x:v>article</x:v>
      </x:c>
      <x:c r="H59" s="7" t="str">
        <x:v>10.1139/f83-289</x:v>
      </x:c>
      <x:c r="I59" s="7" t="str">
        <x:v>https://doi.org/10.1139/f83-289</x:v>
      </x:c>
      <x:c r="J59" s="7" t="str">
        <x:v>Knight Inlet is a deep, low-energy but well-oxygenated fjord. The effects of turbidity are principally those of seasonally very high vertical flux from the sediment-laden surface layer. Submersible observations of the benthos are related to suspended load and sedimentation rate data. The bayhead delta slope receives a continual rain of glacial silt (30 cm/yr) and has summer sedimentation rates of 4 kg∙m −2 ∙d −1 .The epifauna of the steep fjord walls shows a marked down-inlet increase in abundance, and the number of species increases from 9 to 45. Brachiopods (Laqueus californianus), solitary corals (Caryophyllia/Cyathoceros), and encrusting sponges are remarkably tolerant of high turbidity. The high sedimentation rates affect the epifauna in three ways: (1) subjection to the ubiquitous "gentle rain" of floes and agglomerates; (2) more locally, microturbidity flows set off by biological resuspension of unstable slope sediment; and (3) major slides of rock and/or sediment. Submarine soil-creep limits the slope infauna, by burrows requiring repeated reexcavation.Down-inlet decrease in sedimentation rate is accompanied by a change in feeding type. In the upper inlet, suspension feeders taking particles &lt; 8 μm (e.g. sabellids, brachiopods) probably utilize bacteria associated with the high vertical flux of SPM. In the middle inlet, selective suspension feeders (e.g. crinoids, gorgonians) sort the SPM for larger particles. In the lower inlet, filter feeders (e.g. barnacles, glass sponges) increase, especially where currents are stronger. The soft-bottom detritus feeders also show a change: from epibenthic forms (e.g. pandalid shrimp, spider crabs) in the upper inlet, through burrowing shrimp in the middle inlet, to ophiuroids in the lower inlet. These changes are correlated with the greater amounts of organic carbon preserved in bottom sediments as they are less diluted by glacially derived inorganic material.The modern-day "turbid association" of brachiopods, solitary corals, and sponges recalls typical outer shelf-basinal shale facies of the Palaeozoic. Turbid, low-energy environments were thus colonized early but faunas have since become less diverse.Key words: fjord, benthos, sedimentation, submersible</x:v>
      </x:c>
      <x:c r="K59" s="11" t="str">
        <x:v>NO</x:v>
      </x:c>
      <x:c r="L59" s="7" t="str">
        <x:v>NOT_CONFIRMED</x:v>
      </x:c>
      <x:c r="M59" s="7" t="str"/>
      <x:c r="N59" s="7" t="str">
        <x:v>VERIFIED_BIBLIOGRAPHIC_DOCUMENT</x:v>
      </x:c>
      <x:c r="O59" s="7" t="str"/>
      <x:c r="P59" s="11" t="str"/>
      <x:c r="Q59" s="7" t="str"/>
      <x:c r="R59" s="7" t="str"/>
      <x:c r="S59" s="7" t="str"/>
      <x:c r="T59" s="7" t="str"/>
      <x:c r="U59" s="7" t="str"/>
      <x:c r="V59" s="7" t="str">
        <x:v>PRODUCTION_CORE_INCLUDE</x:v>
      </x:c>
      <x:c r="W59" s="7" t="str">
        <x:v>PROD-03443</x:v>
      </x:c>
    </x:row>
    <x:row r="60" ht="42" customHeight="1">
      <x:c r="A60" s="10" t="str">
        <x:v>A</x:v>
      </x:c>
      <x:c r="B60" s="7" t="str">
        <x:v>CWC-2333337CDF81</x:v>
      </x:c>
      <x:c r="C60" s="7" t="str">
        <x:v>Deep-sea coral Lophelia pertusa laboratory maintenance and exposure to barite using water recirculation systems</x:v>
      </x:c>
      <x:c r="D60" s="7" t="str">
        <x:v>Vianna da Rocha Ian | Cardinot Reis Estefane | Reis da Silva Priscila | de Hollanda Cavalcanti Guarani | Coutinho Ricardo | Vieira Reynier Marcia</x:v>
      </x:c>
      <x:c r="E60" s="11" t="str">
        <x:v>2021</x:v>
      </x:c>
      <x:c r="F60" s="7" t="str">
        <x:v>Journal of Toxicology and Environmental Health Sciences</x:v>
      </x:c>
      <x:c r="G60" s="7" t="str">
        <x:v>article</x:v>
      </x:c>
      <x:c r="H60" s="7" t="str">
        <x:v>10.5897/jtehs2021.0486</x:v>
      </x:c>
      <x:c r="I60" s="7" t="str">
        <x:v>https://doi.org/10.5897/jtehs2021.0486</x:v>
      </x:c>
      <x:c r="J60" s="7" t="str">
        <x:v>Drilling activities usually discharge large quantities of fluids and drill cuttings, which are composed of fine particles, such as barite, that can physically affect Lophelia pertusa. An experiment to assess the effects of barite smothering on L. pertusa was conducted with a water recirculation system. The corals were collected in Santos Basin, Brazil. The experiment was conducted in 23 L cone-shaped aquaria, adapted with an individual water recirculation system. Each exposure to suspended barite particles (50 and 100 mg•L-1) plus a control group was maintained in triplicate. Three nubbins were accommodated in the aquaria and acclimated for 7 days. The experimental design simulated two cycles of discharge, followed by a recovery cycle of 7 days each, totaling 35 days. Nine polyps per treatment were monitored twice per day regarding their behavior levels. Time-lapse photographs were also taken during the recovery periods. Total polyp survival in the control was 100%, while those in the 50 and 100 mg•L-1 groups were 94.2 and 93.6%, respectively, with no significant difference between treatments. Polyp activity was different between treatments, with both exposed aquaria displaying higher activity than control. This was probably related to the natural cleaning behavior of L. pertusa. Key words: Barite smothering, sedimentation, impacts of oil and gas industry, Santos Basin, Southeastern Brazil, South Atlantic.</x:v>
      </x:c>
      <x:c r="K60" s="11" t="str">
        <x:v>YES</x:v>
      </x:c>
      <x:c r="L60" s="7" t="str">
        <x:v>FROZEN_PUBLIC_FULL_TEXT_LOCATION</x:v>
      </x:c>
      <x:c r="M60" s="7" t="str">
        <x:v>https://doi.org/10.5897/jtehs2021.0486</x:v>
      </x:c>
      <x:c r="N60" s="7" t="str">
        <x:v>VERIFIED_BIBLIOGRAPHIC_DOCUMENT</x:v>
      </x:c>
      <x:c r="O60" s="7" t="str"/>
      <x:c r="P60" s="11" t="str"/>
      <x:c r="Q60" s="7" t="str"/>
      <x:c r="R60" s="7" t="str"/>
      <x:c r="S60" s="7" t="str"/>
      <x:c r="T60" s="7" t="str"/>
      <x:c r="U60" s="7" t="str"/>
      <x:c r="V60" s="7" t="str">
        <x:v>PRODUCTION_CORE_INCLUDE</x:v>
      </x:c>
      <x:c r="W60" s="7" t="str">
        <x:v>PROD-03464</x:v>
      </x:c>
    </x:row>
    <x:row r="61" ht="42" customHeight="1">
      <x:c r="A61" s="10" t="str">
        <x:v>A</x:v>
      </x:c>
      <x:c r="B61" s="7" t="str">
        <x:v>CWC-F432D2EEA239</x:v>
      </x:c>
      <x:c r="C61" s="7" t="str">
        <x:v>Response to sedimentation stress of the gorgonian coral Primnoella chilensis from the Chilean fjord region</x:v>
      </x:c>
      <x:c r="D61" s="7" t="str">
        <x:v>Leander Verse | Jürgen Laudien | Verena Häussermann</x:v>
      </x:c>
      <x:c r="E61" s="11" t="str">
        <x:v>2019</x:v>
      </x:c>
      <x:c r="F61" s="7" t="str">
        <x:v>Helmholtz-Zentrum für Polar-und Meeresforschung (Alfred-Wegener-Institut)</x:v>
      </x:c>
      <x:c r="G61" s="7" t="str">
        <x:v>dissertation</x:v>
      </x:c>
      <x:c r="H61" s="7" t="str">
        <x:v>10.1594/pangaea.905477</x:v>
      </x:c>
      <x:c r="I61" s="7" t="str">
        <x:v>https://doi.org/10.1594/pangaea.905477</x:v>
      </x:c>
      <x:c r="J61" s="7" t="str">
        <x:v>Sedimentation is one of the main disturbance factors influencing benthic communities and coastal reef organisms through a variety of mechanisms. In Chilean Patagonia, rising anthropogenic intrusions such as coastal road projects and aquaculture installations threaten the local biodiversity causing increased sedimentation with even more to be expected. Primnoella chilensis (Philippi, 1894) is an important habitat-forming gorgonian coral, abundant in this region, but significant abundance decreases were reported for the last decade. The present study aimed to describe physiological and behavioural stress responses of P. chilensis to increased sedimentation. Therefore, two laboratory experiments were conducted measuring colonies' responses in respiration for 18 hours as well as documenting polyp activity and mucus secretion for 15 days under sediment exposure. No significant differences in oxygen consumption were measured, presumably due to the low number of test organisms. Further, no mucus secretion or changes in colonies' overall activity were detected. However, an analysis on single polyp level revealed a significantly increased percentage of open polyps when exposed to high sedimentation. This increased activity may be explained by intensified filter-feeding behaviour and active sediment rejection. In addition, a spawning event was detected as a possible stress reaction. All in all, the results suggest that P. chilensis is able to tolerate the simulated sedimentation loads of 225 and 450 mm/y due to its morphology and compartmentalized behaviour. This goes along with previous findings on gorgonian corals. Nonetheless, anthropogenic disturbances may by far exceed and alter natural ones due to their extent and persistence causing unpredictable, dangerous conditions for the benthic community.</x:v>
      </x:c>
      <x:c r="K61" s="11" t="str">
        <x:v>NO</x:v>
      </x:c>
      <x:c r="L61" s="7" t="str">
        <x:v>NOT_CONFIRMED</x:v>
      </x:c>
      <x:c r="M61" s="7" t="str"/>
      <x:c r="N61" s="7" t="str">
        <x:v>VERIFIED_BIBLIOGRAPHIC_DOCUMENT</x:v>
      </x:c>
      <x:c r="O61" s="7" t="str"/>
      <x:c r="P61" s="11" t="str"/>
      <x:c r="Q61" s="7" t="str"/>
      <x:c r="R61" s="7" t="str"/>
      <x:c r="S61" s="7" t="str"/>
      <x:c r="T61" s="7" t="str"/>
      <x:c r="U61" s="7" t="str"/>
      <x:c r="V61" s="7" t="str">
        <x:v>PRODUCTION_CORE_INCLUDE</x:v>
      </x:c>
      <x:c r="W61" s="7" t="str">
        <x:v>PROD-03472</x:v>
      </x:c>
    </x:row>
    <x:row r="62" ht="42" customHeight="1">
      <x:c r="A62" s="10" t="str">
        <x:v>A</x:v>
      </x:c>
      <x:c r="B62" s="7" t="str">
        <x:v>CWC-051E61C91ACA</x:v>
      </x:c>
      <x:c r="C62" s="7" t="str">
        <x:v>Deep-Sea Coral Reefs: Distribution, Ecology &amp; Anthropogenic Impacts</x:v>
      </x:c>
      <x:c r="D62" s="7" t="str">
        <x:v>Victoria Oakham</x:v>
      </x:c>
      <x:c r="E62" s="11" t="str">
        <x:v>2009</x:v>
      </x:c>
      <x:c r="F62" s="7" t="str">
        <x:v>The Plymouth student scientist</x:v>
      </x:c>
      <x:c r="G62" s="7" t="str">
        <x:v>article</x:v>
      </x:c>
      <x:c r="H62" s="7" t="str"/>
      <x:c r="I62" s="7" t="str">
        <x:v>https://pearl.plymouth.ac.uk/handle/10026.1/13863</x:v>
      </x:c>
      <x:c r="J62" s="7" t="str">
        <x:v>The introduction of Remotely Operated Vehicles (ROVs) and manned submersibles has meant scientists can finally begin study deep-water scleractinian coral reefs, making valuable first-hand observations of the reefs themselves and their associated fauna. Known influences of deepwater coral reef distribution include the topography of the seabed, presence of currents, high nutrient levels and low sedimentation levels. Chemical tolerances (such as salinity, temperature range and calcium carbonate availability) are mostly known for only Lophelia pertusa corals. Debates exist within literature over the possible influence of hydrocarbon seeps from the seabed on coral reef growth and distribution. Studies show the importance of deep-water coral reefs as habitat for fish and invertebrates. Some faunal habitat associations have been looked at, yet not studied in detail. The majority of this research has looked for fish association with the deep-water coral reefs. Proposed reasons for these associations include the reef habitat being a structural refuge from predation, a suitable feeding habitat and a protective nursery for juvenile fish. There are relatively few studies undertaken into the presence of other faunal groups on deep-water coral reefs, though there is some qualitative data obtained from analyses of fish stomachs. Benthic trawling for commercial fish spp has, over the years, destroyed large portions of deep-water coral reefs. The future predicted rise in atmospheric CO2 may also impact this habitat detrimentally by altering the chemistry of the seawater. For such slow-growing, fragile organisms as corals, these habitat loses may never be regained. The Plymouth Student Scientist, 2009, 2, (1), 203-211 ISSN 1754-2383 [Online] ©University of Plymouth [204] Introduction The existence of deep-sea coral reefs has been known for over 100 years (Hatcher &amp; Scheibling, 2001). However, unlike their shallow water counterparts, very little is known of deep-sea coral reefs. This is because it is only in recent years that technology has enabled scientists to gain first-hand knowledge into the deep-sea’s unseen, aphotic expanse. Indeed, it is often said that ‘we know more about the surface of the moon than we do about the sea floor ‘(SAMS, 2005). The past decade has brought the valuable introduction and use of new technologies with which to better study the ecology of deep ocean floor habitats. The use of Remotely Operated Vehicles (ROVs) and manned submersibles has meant scientists can finally observe deep-water, benthic organisms in their natural environment; permitting studies into their true habitat associations, behaviours and hypotheses regarding ecosystem functions. Prior to the availability and use of such technologies, much of our understanding of these habitats was based on fisherman’s reports of trawling the seabed and what they had found. Any inferences (eg about organism habitat associations) derived from trawl data may be misleading. For example, though habitat associations could be assumed due to the catch of a certain organism in the same trawl as a deep-water coral fragment, the trawl could be taken over different types of benthic habitat; thus the organism in question may have been located in a non-reef habitat (eg seabed) far away from the coral. Furthermore, many habitat fragments caught within a trawl net are unidentifiable. Therefore, many trawl-derived organism data is merely qualitative and cannot be treated as a valid quantitative survey of a benthic habitat (Ross &amp; Quattrini, 2007). In contrast to this unreliability of data gleamed from benthic trawls, the first-hand observational data obtained from ROV or manned submersible dives is valid and more informative. For example, upon observation of a benthic habitat, certain environmental conditions (eg currents, nutrients, sediment mixing etc) can be noted and may even help to explain the presence / absence of certain species within a habitat (Trenkel et al., 2004). None of this information could be known from trawl-derived data. What is a Deep-Water Coral Reef? Coral reefs that this review is concerned with are constructed by colonies of Scleractinian (reef-building) stony corals. As these coral polyps grow they deposit a calcareous skeleton and it is this that forms the reef structure (Roberts et al., 2006). The known types of cold-water scleractinian corals include Lophelia pertusa, Madrepora oculata, Goniocorella dumosa, Oculina varicosa, Enallopsammia profunda and Solenosmilia variabilis (Freiwald et al., 2004). Of these, Lophelia pertusa is probably the most studied, and covers a large geographical range (Freiwald et al., 2004; Costello et al., 2005; Husebo et al., 2002). The present review aims to ascertain our current understanding of deep-water coral reefs in terms of their worldwide distribution, faunal ecology and any anthropogenic impacts upon these unique habitats. This review defines a deep-water coral reef as being more than 100m depth. Therefore, those found in the cold, current swept fjords are excluded from this review; as are any other cold-water coral reefs occurring shallower than 100m. The Plymouth Student Scientist, 2009, 2, (1), 203-211 ISSN 1754-2383 [Online] ©University of Plymouth [205] Distribution Deep-water coral reefs have a cosmopolitan distribution, occurring in all ocean basins (Guinotte et al., 2006), on areas of the seabed with certain rugged topographies such as continental shelves and slopes, seamounts and oceanic banks (for exact locations, see appropriate references from Freiwald et al., 2004). They have also been observed to inhabit the artificial structures of oil and gas platforms (Gas &amp; Roberts, 2006) and shipwrecks (Costello et al., 2005). Though scientific study of deep-water coral reefs is limited, it is known that corals require hard substrate for attachment, together with a surrounding temperature between 4C and 12C (Roberts et al., 2006). Deep-water coral reefs are found in current swept areas of the seabed. This is because whereas corals of shallow, tropical waters rely on the photosynthetic products of their symbiotic algae for nutrition, deep-water corals are azooxanthellate (lack symbiotic algae) filter-feeders, relying upon currents to supply them with nutrition. Furthermore, currents minimise sediment deposition on the coral reefs. This is also beneficial to the corals as sediment build-up can fatally damage these fragile feeding tentacles. Little is known in scientific literature about the reproductive biology of deep-water corals. Van Soest et al (2007) assumes that they must have a planktonic larval stage reminiscent of shallow water coral reefs. Gas and Roberts (2006) are in agreement with this and say that the fact no Lophelia pertusa corals were found in the North Sea before the introduction (and subsequent colonisation) of oil and gas platforms (providing hard substrata) is proof of a planktonic larva stage (see also Fossa et al., 2002). However, without further investigation, the theory of reproduction via broadcast spawning in deepwater corals remains purely an assumption (Burgess &amp; Babcock, 2005). Furthermore, recent studies have related the abundance of deep-water scleractinian corals to the depth of the Aragonite Saturation Horizon (ASH). Aragonite is the form of calcium carbonate required by corals to build their skeletons, and therefore needs to be available in the surrounding water. Thus, Guinotte et al (2006) attributed (at least in part) the high abundance of deep-water scleractinian corals in the North Atlantic to its deep (&gt;2km) ASH, and likewise the octocoral and stylasterid (soft corals, non-reef building) dominated North Pacific to its much shallower (50-600m) ASH. The few scleractinian corals observed in the North Pacific tended to be solitary as opposed to reef-forming, supporting this hypothesis. There is much debate in scientific literature as to whether or not the formation of deepwater coral reefs relies upon</x:v>
      </x:c>
      <x:c r="K62" s="11" t="str">
        <x:v>NO</x:v>
      </x:c>
      <x:c r="L62" s="7" t="str">
        <x:v>NOT_CONFIRMED</x:v>
      </x:c>
      <x:c r="M62" s="7" t="str"/>
      <x:c r="N62" s="7" t="str">
        <x:v>VERIFIED_BIBLIOGRAPHIC_DOCUMENT</x:v>
      </x:c>
      <x:c r="O62" s="7" t="str"/>
      <x:c r="P62" s="11" t="str"/>
      <x:c r="Q62" s="7" t="str"/>
      <x:c r="R62" s="7" t="str"/>
      <x:c r="S62" s="7" t="str"/>
      <x:c r="T62" s="7" t="str"/>
      <x:c r="U62" s="7" t="str"/>
      <x:c r="V62" s="7" t="str">
        <x:v>PRODUCTION_CORE_INCLUDE</x:v>
      </x:c>
      <x:c r="W62" s="7" t="str">
        <x:v>PROD-03629</x:v>
      </x:c>
    </x:row>
    <x:row r="63" ht="42" customHeight="1">
      <x:c r="A63" s="10" t="str">
        <x:v>A</x:v>
      </x:c>
      <x:c r="B63" s="7" t="str">
        <x:v>CWC-BE8A1663711D</x:v>
      </x:c>
      <x:c r="C63" s="7" t="str">
        <x:v>Lophelia pertusa in Norwegian waters. What have we learned since 2008</x:v>
      </x:c>
      <x:c r="D63" s="7" t="str">
        <x:v>Johanna Järnegren | Tina Kutti</x:v>
      </x:c>
      <x:c r="E63" s="11" t="str">
        <x:v>2014</x:v>
      </x:c>
      <x:c r="F63" s="7" t="str">
        <x:v>BIBSYS Brage (BIBSYS (Norway))</x:v>
      </x:c>
      <x:c r="G63" s="7" t="str">
        <x:v>report</x:v>
      </x:c>
      <x:c r="H63" s="7" t="str"/>
      <x:c r="I63" s="7" t="str">
        <x:v>http://hdl.handle.net/11250/2397719</x:v>
      </x:c>
      <x:c r="J63" s="7" t="str">
        <x:v>Järnegren, J. &amp; Kutti, T. 2014. Lophelia pertusa in Norwegian waters. What have we learned \nsince 2008? – NINA Report 1028. 40 pp. \nThis report was requested by the Norwegian Environment Agency as a platform of knowledge to \nevaluate Lophelia pertusa as a possible “selected nature type” (utvalgt naturtype). It is a literature \nreview that summarizes available knowledge since 2008 on Lophelia pertusa biology, ecosystem \nstructure and functioning. In addition, existing knowledge on the response of Lophelia to the \neffects of increased ocean temperature and acidification and expanding industrial activities are \ndescribed. \nLophelia pertusa (Linné, 1758) is a common stony coral, which forms extensive reefs in deep \nwaters around the world. It has a wide range of tolerance, but is most abundant where bottom \nwater temperatures range between 6-9°C, salinity is around 35, and with oxygen levels of 6.0- \n6.2 ml/L. “High quality” coral sites, such as most of the Norwegian Lophelia habitats, are associated \nwith bottom waters with Dissolved Inorganic Carbon (DIC) values &lt;2170 µmol/kg and within \na seawater density envelope of 27.35-27.65 kg/m3 \n. Lophelia does not contain photosynthetic \nsymbionts but feeds on zooplankton, phytoplankton, bacteria and Dissolved Organic Material \n(DOM), depending on their availability. Most Norwegian Lophelia reefs seem to depend mainly \non zooplankton for feed. \nThe occurrence of Lophelia varies from scattered colonies or groups of colonies to vast reef \ncomplexes (such as the Røst and Sula reefs). Lophelia is distributed along most of the Norwegian \ncoast, with the highest densities occurring on the continental shelf north of Stadt up to Lofoten \nand along the coasts and fjords of Møre og Romsdal and Trøndelag. Lophelia has a linear \npolyp extension rate of approximately 10 mm year-1 and the growth of a reef can amount to 5 \nmm year-1 \n. All reefs in Norwegian fjords and on the shelf have been formed after the retreat of \nthe ice-sheet and the oldest reefs are around 8000 years. \nThe Lophelia reefs are regarded as hot spots for biodiversity and carbon cycling. The reefs are \ninhabited by a high number of invertebrates and seem to act as preferred habitat also for some \ncommon demersal fish. In the reefs carbon remineralization can be elevated by up to 25% compared \nto “normal” shelf sediments. Thus, Lophelia plays a key role in benthic ecosystems in \nNorwegian waters. \nLophelia ecosystems have come under increasing anthropogenic pressure due to releases of \nsuspended particles from the aquaculture-, oil and gas-, mining- and bottom trawling industry. \nChanges in ocean temperature and the ongoing acidification will act as additional stressors on \nLophelia ecosystems. Ocean acidification is considered the most serious threat. Lophelia appears \nto cope quite well with moderate sedimentation events. Laboratory studies have shown \nthat the short-term cost of this appears to be low on adults but appears highly detrimental for \nlarvae. Further, laboratory studies have shown that Lophelia resists realistic near-future increases \nin pCO2 levels reasonably well. \nHowever, there might be substantial negative effects on the reef structure. Although studies indicate \nthat Lophelia appears to handle single stressors over short time periods quite well, additional \neffects could be detrimental. It is considered urgent to learn more on the effects of multiple \nstress factors and long-term exposure to stressful conditions. Of all known Lophelia occurrences \nin the world, 30% are from the Norwegian shelf giving Norway a special responsibility in managing \nthis species and the ecosystem it creates.</x:v>
      </x:c>
      <x:c r="K63" s="11" t="str">
        <x:v>NO</x:v>
      </x:c>
      <x:c r="L63" s="7" t="str">
        <x:v>NOT_CONFIRMED</x:v>
      </x:c>
      <x:c r="M63" s="7" t="str"/>
      <x:c r="N63" s="7" t="str">
        <x:v>VERIFIED_BIBLIOGRAPHIC_DOCUMENT</x:v>
      </x:c>
      <x:c r="O63" s="7" t="str"/>
      <x:c r="P63" s="11" t="str"/>
      <x:c r="Q63" s="7" t="str"/>
      <x:c r="R63" s="7" t="str"/>
      <x:c r="S63" s="7" t="str"/>
      <x:c r="T63" s="7" t="str"/>
      <x:c r="U63" s="7" t="str"/>
      <x:c r="V63" s="7" t="str">
        <x:v>PRODUCTION_CORE_INCLUDE</x:v>
      </x:c>
      <x:c r="W63" s="7" t="str">
        <x:v>PROD-03631</x:v>
      </x:c>
    </x:row>
    <x:row r="64" ht="42" customHeight="1">
      <x:c r="A64" s="10" t="str">
        <x:v>A</x:v>
      </x:c>
      <x:c r="B64" s="7" t="str">
        <x:v>CWC-DCF5D4E014D1</x:v>
      </x:c>
      <x:c r="C64" s="7" t="str">
        <x:v>Deep-sea sponges in an Anthropocene ocean</x:v>
      </x:c>
      <x:c r="D64" s="7" t="str">
        <x:v>Erik Wurz</x:v>
      </x:c>
      <x:c r="E64" s="11" t="str">
        <x:v>2022</x:v>
      </x:c>
      <x:c r="F64" s="7" t="str">
        <x:v>Wageningen University &amp; Research</x:v>
      </x:c>
      <x:c r="G64" s="7" t="str">
        <x:v>dissertation</x:v>
      </x:c>
      <x:c r="H64" s="7" t="str">
        <x:v>10.18174/572809</x:v>
      </x:c>
      <x:c r="I64" s="7" t="str">
        <x:v>https://doi.org/10.18174/572809</x:v>
      </x:c>
      <x:c r="J64" s="7" t="str">
        <x:v>Plumes of re-suspended sediment potentially smother and clog the aquiferous system of filter-feeding sponges with unknown implications for their health. For the first time we examined the physiological responses of repeated exposure to natural sediment in the glass sponge Vazella pourtalesii, which forms dense sponge grounds in Emerald Basin off Nova Scotia, Canada. Ex situ chamber-based measurements of bacterial clearance and oxygen consumption (respiration) rates indicated that individuals subjected to elevated concentrations of suspended sediment expressed normal clearance and respiration rates over 7 days of sediment exposure, indicating an ability to cope with elevated concentrations of indigestible sediment particles. However, clearance rates significantly declined after 14 days of sediment exposure, suggesting an inability to cope with long-term exposure to increased sediment load. Therefore, long-term exposure to elevated concentrations of suspended sediment should be avoided in order to minimize adverse effects on the abundant Vazella sponge grounds.</x:v>
      </x:c>
      <x:c r="K64" s="11" t="str">
        <x:v>NO</x:v>
      </x:c>
      <x:c r="L64" s="7" t="str">
        <x:v>NOT_CONFIRMED</x:v>
      </x:c>
      <x:c r="M64" s="7" t="str"/>
      <x:c r="N64" s="7" t="str">
        <x:v>VERIFIED_BIBLIOGRAPHIC_DOCUMENT</x:v>
      </x:c>
      <x:c r="O64" s="7" t="str"/>
      <x:c r="P64" s="11" t="str"/>
      <x:c r="Q64" s="7" t="str"/>
      <x:c r="R64" s="7" t="str"/>
      <x:c r="S64" s="7" t="str"/>
      <x:c r="T64" s="7" t="str"/>
      <x:c r="U64" s="7" t="str"/>
      <x:c r="V64" s="7" t="str">
        <x:v>PRODUCTION_CORE_INCLUDE</x:v>
      </x:c>
      <x:c r="W64" s="7" t="str">
        <x:v>PROD-03878</x:v>
      </x:c>
    </x:row>
    <x:row r="65" ht="42" customHeight="1">
      <x:c r="A65" s="10" t="str">
        <x:v>A</x:v>
      </x:c>
      <x:c r="B65" s="7" t="str">
        <x:v>CWC-9E593C627937</x:v>
      </x:c>
      <x:c r="C65" s="7" t="str">
        <x:v>Responsiveness of Glass Sponges to Suspended Sediments at Canada’s Glass Sponge Reefs</x:v>
      </x:c>
      <x:c r="D65" s="7" t="str">
        <x:v>Nathan J.R. Grant</x:v>
      </x:c>
      <x:c r="E65" s="11" t="str">
        <x:v>2018</x:v>
      </x:c>
      <x:c r="F65" s="7" t="str">
        <x:v>University of Alberta Library</x:v>
      </x:c>
      <x:c r="G65" s="7" t="str">
        <x:v>dissertation</x:v>
      </x:c>
      <x:c r="H65" s="7" t="str">
        <x:v>10.7939/r3k64b85v</x:v>
      </x:c>
      <x:c r="I65" s="7" t="str">
        <x:v>https://doi.org/10.7939/r3k64b85v</x:v>
      </x:c>
      <x:c r="J65" s="7" t="str">
        <x:v>Glass sponge reefs are globally unique ecosystems on Canada’s western continental shelf that are susceptible to harm from fishing (e.g., bottom-contact trawling). In 2017, a marine protected area (MPA) was created to protect four of these reefs in Hecate Strait and Queen Charlotte Sound. Three sponge species form the reefs, Aphrocallistes vastus, Heterochone calyx and Farrea occa. Glass sponges are filter feeders, pumping water through their bodies to remove bacteria and oxygen and excrete wastes. Previous laboratory studies had shown glass sponges arrest their filtration in response to suspended sediment; this has never been studied in situ. Therefore the aim of this thesis was to determine whether glass sponge filtration is affected by resuspended sediments at the sponge reefs. The work was carried out at two reefs, one in the Strait of Georgia, BC and the other at the Hecate Strait and Queen Charlotte Sound Marine Protected Area. Using a remotely operated vehicle (ROV), current profilers and turbidity meters were deployed beside the glass sponge Aphrocallistes vastus on Fraser Ridge reef in the Strait of Georgia, BC, which is currently closed to bottom-contact fishing but which is not a MPA. Custom flowmeters were positioned into sponge oscula to record changes in filtration and changes in suspended sediment concentrations (SSC) were measured by changes in transmissivity using optical backscatter sensors. Sediment disturbances were created by the ROV. Increases in SSCs to 10 – 80 mg l-1 were correlated with decreased excurrent flow rate (r = -0.83 to -0.92). Both single arrests, lasting only 5 min in duration, and longer ‘coughing’ arrests lasting &gt; 30 min were recorded, and together reduced feeding by up to 70%. A. vastus dominates Fraser Ridge reef, whereas two other species, Heterochone calyx and Farrea occa, comprise large portions of reef in the more northern Hecate Strait MPA. To determine whether species- or habitat-specific variations in the physiology of arrests in glass sponges, the responses of H. calyx, F. occa as well as a non-reef forming species, Rhabdocalyptus dawsoni, were studied in the MPA. Small sediment disturbances (&lt; 5 – 10 mg l-1) generated by the ROV triggered single arrests in both H. calyx and R. dawsoni. H. calyx appeared to clog following two hours of exposure to SSCs of 3.2 mg l-1 and R. dawsoni arrested all pumping activity following extend exposure to SSCs &lt; 1 mg l-1 above natural levels of turbidity (2.71 mg l-1). No arrests were recorded from F. occa but the low pumping rate of this sponge made it difficult to record flow out of this species. The distance suspended sediments could be transported was estimated using sediment collected from the reefs, and a settlement model. The model showed that a plume of sediment with &lt;20 µm grain size has a range greater than the narrower portions of the MPA boundaries and would remain at high enough SSCs to induce arrests within the species studied. This study confirmed that different glass sponge species arrest filtration in response to elevated SSCs in situ. The thresholds for response varies between A. vastus, H. calyx and R. dawsoni, but all are significantly lower than those known to be generated by trawling (~ 100 – 500 mg l-1). These results provide threshold and response data for use in current and future conservation of Canada’s glass sponge reefs.</x:v>
      </x:c>
      <x:c r="K65" s="11" t="str">
        <x:v>NO</x:v>
      </x:c>
      <x:c r="L65" s="7" t="str">
        <x:v>NOT_CONFIRMED</x:v>
      </x:c>
      <x:c r="M65" s="7" t="str"/>
      <x:c r="N65" s="7" t="str">
        <x:v>VERIFIED_BIBLIOGRAPHIC_DOCUMENT</x:v>
      </x:c>
      <x:c r="O65" s="7" t="str"/>
      <x:c r="P65" s="11" t="str"/>
      <x:c r="Q65" s="7" t="str"/>
      <x:c r="R65" s="7" t="str"/>
      <x:c r="S65" s="7" t="str"/>
      <x:c r="T65" s="7" t="str"/>
      <x:c r="U65" s="7" t="str"/>
      <x:c r="V65" s="7" t="str">
        <x:v>PRODUCTION_CORE_INCLUDE</x:v>
      </x:c>
      <x:c r="W65" s="7" t="str">
        <x:v>PROD-03880</x:v>
      </x:c>
    </x:row>
    <x:row r="66" ht="42" customHeight="1">
      <x:c r="A66" s="10" t="str">
        <x:v>A</x:v>
      </x:c>
      <x:c r="B66" s="7" t="str">
        <x:v>CWC-F886D4D45E18</x:v>
      </x:c>
      <x:c r="C66" s="7" t="str">
        <x:v>Science response: glass sponge reefs HSQCS MPA</x:v>
      </x:c>
      <x:c r="D66" s="7" t="str">
        <x:v>Fisheries and Oceans Canada | Pêches et Océans Canada</x:v>
      </x:c>
      <x:c r="E66" s="11" t="str">
        <x:v>2022</x:v>
      </x:c>
      <x:c r="F66" s="7" t="str">
        <x:v>Federal Open Science Repository of Canada / Le Dépôt fédéral de science ouverte du Canada</x:v>
      </x:c>
      <x:c r="G66" s="7" t="str">
        <x:v>report</x:v>
      </x:c>
      <x:c r="H66" s="7" t="str"/>
      <x:c r="I66" s="7" t="str">
        <x:v>https://open-science.canada.ca/handle/123456789/847</x:v>
      </x:c>
      <x:c r="J66" s="7" t="str">
        <x:v>Marine Protected Areas (MPAs) play important roles in conserving marine ecosystems worldwide. Under Canada’s Ocean’s Act, Fisheries and Oceans Canada (DFO) established nine Glass Sponge Reef Marine Refuges in the Strait of Georgia and eight in Howe Sound, British Columbia. Further to that, DFO established the Hecate Strait and Queen Charlotte Sound (HSQCS) MPA (Figure 1) to protect glass sponge habitats within three spatially-distinct reef complexes—the Northern Reef, the Central Reefs, and the Southern Reef (Government of Canada 2017). Each reef complex is made up of three management zone types: the core protection zone (CPZ), adaptive management zone (AMZ) and vertical adaptive management zone (VMZ). While all harmful human activities are prohibited in the CPZs, the MPA Regulations allow for some limited fishing activities in the AMZs and VMZs—including recreational fisheries and Indigenous fishing for Food, Social and Ceremonial purposes. Currently, all commercial bottom-contact fishing and midwater trawling in the MPA is prohibited by Fisheries Act Variation Orders. While the HSQCS MPA is designed to protect unique marine ecosystems formed by glass sponge reefs, the effectiveness of the MPA depends on how well the AMZ boundaries function as a protective measure. The existing AMZ boundaries within the HSQCS MPA range from 0.6 to 4.5 km from the CPZ boundaries. The glass sponge reefs off British Columbia are the habitat for many commercially important fish and are subject to fishing pressure such as bottom-contact trawl fishing. Bottom-contact trawl fishing can result in physical damage to habitat directly, and also negatively impact on glass sponge reefs indirectly by suspending a large amount of sediment, which can then be transported into the CPZ. Glass sponges are highly efficient water filterers that constantly filter and pump in organic and inorganic particles. However, they can quickly arrest their pumping activities in response to the exposure to sediments. Multiple arrests may reduce energy uptake of glass sponges, which could negatively affect their health; while the long-term effects of repeated sediment exposure and arrests on their health and population remain to be a knowledge gap (Grant et al. 2019). Grant et al. (2018) found that in the Strait of Georgia, glass sponges cease pumping (arrested) at suspended sediment concentration far lower than concentrations that can be triggered by bottom-contact trawling. Furthermore, Grant et al. (2019) found that different species of glass sponges in the HSQCS MPA respond differently to the exposure of suspended sediments. They showed that the distance required from the AMZs to the CPZs depends on ocean environmental conditions and suggested that the existing AMZs in the HSQCS MPA may not be adequate to achieve effective conservation. DFO Oceans has requested DFO Science to: 1) assess whether the existing AMZ boundaries are sufficient to protect the glass sponge reefs from suspended sedimentation impacts of mobile, bottom contact fishing gear, and 2) estimate new AMZ boundaries if the current boundaries do not provide sufficient protection for the sponge reefs. This Science Response Report results from the Regional Science Response Process of November 20, 2020 on Adaptive Management Zones for Hecate Strait/Queen Charlotte Sound Glass Sponge Reefs Marine Protected Areas.</x:v>
      </x:c>
      <x:c r="K66" s="11" t="str">
        <x:v>NO</x:v>
      </x:c>
      <x:c r="L66" s="7" t="str">
        <x:v>NOT_CONFIRMED</x:v>
      </x:c>
      <x:c r="M66" s="7" t="str"/>
      <x:c r="N66" s="7" t="str">
        <x:v>VERIFIED_BIBLIOGRAPHIC_DOCUMENT</x:v>
      </x:c>
      <x:c r="O66" s="7" t="str"/>
      <x:c r="P66" s="11" t="str"/>
      <x:c r="Q66" s="7" t="str"/>
      <x:c r="R66" s="7" t="str"/>
      <x:c r="S66" s="7" t="str"/>
      <x:c r="T66" s="7" t="str"/>
      <x:c r="U66" s="7" t="str"/>
      <x:c r="V66" s="7" t="str">
        <x:v>PRODUCTION_CORE_INCLUDE</x:v>
      </x:c>
      <x:c r="W66" s="7" t="str">
        <x:v>PROD-03883</x:v>
      </x:c>
    </x:row>
    <x:row r="67" ht="42" customHeight="1">
      <x:c r="A67" s="10" t="str">
        <x:v>A</x:v>
      </x:c>
      <x:c r="B67" s="7" t="str">
        <x:v>CWC-8AA509C80D0B</x:v>
      </x:c>
      <x:c r="C67" s="7" t="str">
        <x:v>Monitoring of a Drilling Operation Within a Coral Sensitive area - Case Pumbaa ( Norway)</x:v>
      </x:c>
      <x:c r="D67" s="7" t="str">
        <x:v>Thomas Møskeland | Amund Ulfsnes | Line Emilie Sverdrup | Jannecke A. Moe | Morten Løkken</x:v>
      </x:c>
      <x:c r="E67" s="11" t="str">
        <x:v>2012</x:v>
      </x:c>
      <x:c r="F67" s="7" t="str">
        <x:v>Society of Petroleum Engineers conference proceedings</x:v>
      </x:c>
      <x:c r="G67" s="7" t="str">
        <x:v>conference-paper</x:v>
      </x:c>
      <x:c r="H67" s="7" t="str">
        <x:v>10.2118/156544-ms</x:v>
      </x:c>
      <x:c r="I67" s="7" t="str">
        <x:v>https://doi.org/10.2118/156544-ms</x:v>
      </x:c>
      <x:c r="J67" s="7" t="str">
        <x:v>Abstract Deepwater corals (Lophelia) were identified in the vicinity of the location of the exploration well Pumbaa (NOCS 6407/12-2) on the Norwegian Continental Shelf where a drilling operation was carried out by the GDF SUEZ E&amp;P Norge AS (GDF SUEZ). Det Norske Veritas AS has on behalf of GDF SUEZ conducted an environmental monitoring of drilling activities at Pumbaa (NOCS 6407/12-2). Because of registrations of deep water corals (Lophelia) in the Pumbaa area, and due to specific requirements - a relatively comprehensive monitoring of the drilling activities was carried out. Only the drill cuttings from the top hole sections were discharged at the sea floorThe generated cuttings and used mud from deeper well sections were not discharged to sea. In order to increase the distance to the nearest corals from the discharge point, a Cuttings Transport System (CTS) was used to transport discharges from the top hole sections and all discharges were at 300m distance NNW (310 degrees) of well location. The main objective of the monitoring was to assess effects from the drilling activities on the corals south (and nearest) of the drilling location. The monitoring program included measurements of current, turbidity and sedimentation, as well as sampling of sediments from the seafloor. Sediment samples from the seafloor and sedimentation traps were analyzed for heavy metals and physical parameters. Coral structures were visually inspected before, during and after drilling operations.</x:v>
      </x:c>
      <x:c r="K67" s="11" t="str">
        <x:v>NO</x:v>
      </x:c>
      <x:c r="L67" s="7" t="str">
        <x:v>NOT_CONFIRMED</x:v>
      </x:c>
      <x:c r="M67" s="7" t="str"/>
      <x:c r="N67" s="7" t="str">
        <x:v>VERIFIED_BIBLIOGRAPHIC_DOCUMENT</x:v>
      </x:c>
      <x:c r="O67" s="7" t="str"/>
      <x:c r="P67" s="11" t="str"/>
      <x:c r="Q67" s="7" t="str"/>
      <x:c r="R67" s="7" t="str"/>
      <x:c r="S67" s="7" t="str"/>
      <x:c r="T67" s="7" t="str"/>
      <x:c r="U67" s="7" t="str"/>
      <x:c r="V67" s="7" t="str">
        <x:v>PRODUCTION_CORE_INCLUDE</x:v>
      </x:c>
      <x:c r="W67" s="7" t="str">
        <x:v>PROD-03932</x:v>
      </x:c>
    </x:row>
    <x:row r="68" ht="42" customHeight="1">
      <x:c r="A68" s="10" t="str">
        <x:v>A</x:v>
      </x:c>
      <x:c r="B68" s="7" t="str">
        <x:v>CWC-789F37BA22AF</x:v>
      </x:c>
      <x:c r="C68" s="7" t="str">
        <x:v>Sediment plume simulation from bottom-trawled fishery and deposition effects on rhodoliths and deep-water corals from Campos basin, Brazil</x:v>
      </x:c>
      <x:c r="D68" s="7" t="str">
        <x:v>Pedro Mello Paiva | Jader Lugon | Luciano Gomes Fischer | Maria Manuela Fraga Juliano | Emiliano Nicolas Calderón | Maurício Mussi Molisani</x:v>
      </x:c>
      <x:c r="E68" s="11" t="str">
        <x:v>2023</x:v>
      </x:c>
      <x:c r="F68" s="7" t="str">
        <x:v>Revista de Gestão Costeira Integrada</x:v>
      </x:c>
      <x:c r="G68" s="7" t="str">
        <x:v>article</x:v>
      </x:c>
      <x:c r="H68" s="7" t="str">
        <x:v>10.5894/rgci-n501</x:v>
      </x:c>
      <x:c r="I68" s="7" t="str">
        <x:v>https://doi.org/10.5894/rgci-n501</x:v>
      </x:c>
      <x:c r="J68" s="7" t="str">
        <x:v>Extensive rhodoliths and deep-water coral has been described along the continental shelf and slope of the Campos Basin, but such environments can be highly vulnerable to the bottom trawling fishing. This study applied the MOHID software to simulate the sediment resuspension during the bottom trawling operation and to evaluate possible impacts of sediment deposition onto rhodoliths and deep-water coral. The sediment transport model was validated by field measurements of a bottom trawling operation and presented good accuracy. The results indicated that sediment resuspension by a double-rig trawling induced a 0.13 mm sediment layer deposition onto the rhodoliths from the continental shelf which has potential deleterious effects considered that such thickness is higher than the threshold proposed by the literature. On the contrary, a sediment resuspension/deposition by a single-rig trawling has no impact in the deep-water corals from the continental slope based on the thin layer deposition that was lower than the proposed tolerance limits.</x:v>
      </x:c>
      <x:c r="K68" s="11" t="str">
        <x:v>YES</x:v>
      </x:c>
      <x:c r="L68" s="7" t="str">
        <x:v>FROZEN_PUBLIC_FULL_TEXT_LOCATION</x:v>
      </x:c>
      <x:c r="M68" s="7" t="str">
        <x:v>https://doi.org/10.5894/rgci-n501</x:v>
      </x:c>
      <x:c r="N68" s="7" t="str">
        <x:v>VERIFIED_BIBLIOGRAPHIC_DOCUMENT</x:v>
      </x:c>
      <x:c r="O68" s="7" t="str"/>
      <x:c r="P68" s="11" t="str"/>
      <x:c r="Q68" s="7" t="str"/>
      <x:c r="R68" s="7" t="str"/>
      <x:c r="S68" s="7" t="str"/>
      <x:c r="T68" s="7" t="str"/>
      <x:c r="U68" s="7" t="str"/>
      <x:c r="V68" s="7" t="str">
        <x:v>PRODUCTION_CORE_INCLUDE</x:v>
      </x:c>
      <x:c r="W68" s="7" t="str">
        <x:v>PROD-03959</x:v>
      </x:c>
    </x:row>
    <x:row r="69" ht="42" customHeight="1">
      <x:c r="A69" s="10" t="str">
        <x:v>A</x:v>
      </x:c>
      <x:c r="B69" s="7" t="str">
        <x:v>CWC-BF9D8CD707ED</x:v>
      </x:c>
      <x:c r="C69" s="7" t="str">
        <x:v>Use of Riserless Mud Recovery for Protection of Cold Water Corals While Drilling in Norwegian Sea</x:v>
      </x:c>
      <x:c r="D69" s="7" t="str">
        <x:v>Macdonald Daniel</x:v>
      </x:c>
      <x:c r="E69" s="11" t="str">
        <x:v>2016</x:v>
      </x:c>
      <x:c r="F69" s="7" t="str">
        <x:v>SPE International Conference and Exhibition on Health, Safety, Security, Environment, and Social Responsibility</x:v>
      </x:c>
      <x:c r="G69" s="7" t="str">
        <x:v>conference-paper</x:v>
      </x:c>
      <x:c r="H69" s="7" t="str">
        <x:v>10.2118/179283-ms</x:v>
      </x:c>
      <x:c r="I69" s="7" t="str">
        <x:v>https://doi.org/10.2118/179283-ms</x:v>
      </x:c>
      <x:c r="J69" s="7" t="str">
        <x:v>Abstract The riserless mud recovery (RMR) system has been commercially available for 12 years and used on over 240 wells worldwide. There are several different drivers that typically result in the use of the system and it offers many secondary benefits for top hole drilling, regardless of the primary driver. For the well in question it was used to avoid damaging cold water corals through burial with drilling related sediment. This paper details the background behind the decision to use the system, as well as the system's performance and the resulting benefits and drawbacks to be considered when selecting to use it in this way. During a habitat assessment carried out in 2013, significant quantities of sponge and coral structures were identified as being present on the seafloor around the proposed spud location for well 6507/11-11 in the Norwegian Sea. The well was planned to be the first exploration well in the Zumba prospect in PL 591. A visual survey to assess the condition of the coral structures within 500 m of the planned spud location was carried out in 2014. The results of this survey were used to risk assess the extent of any potential damage to the corals resulting from the drilling process on the Zumba exploration well. This process confirmed the likelihood that some of the corals would be subjected to significant harm if the well was drilled as a conventional exploration well using water based drilling fluid. Typically this would involve discharging displaced drilling fluid, cement slurry and drill cuttings to the sea at or nearby the well site. This assessment drove the decision to contain and ship to shore for disposal all the excess drilling fluids and cuttings. The RMR system was used to achieve this cuttings containment solution during the top hole sections. This was a relatively unique use of the system in Norway because the 36" hole section was also drilled using total containment and no cuttings were discharged at sea.</x:v>
      </x:c>
      <x:c r="K69" s="11" t="str">
        <x:v>NO</x:v>
      </x:c>
      <x:c r="L69" s="7" t="str">
        <x:v>NOT_CONFIRMED</x:v>
      </x:c>
      <x:c r="M69" s="7" t="str"/>
      <x:c r="N69" s="7" t="str">
        <x:v>VERIFIED_BIBLIOGRAPHIC_DOCUMENT</x:v>
      </x:c>
      <x:c r="O69" s="7" t="str"/>
      <x:c r="P69" s="11" t="str"/>
      <x:c r="Q69" s="7" t="str"/>
      <x:c r="R69" s="7" t="str"/>
      <x:c r="S69" s="7" t="str"/>
      <x:c r="T69" s="7" t="str"/>
      <x:c r="U69" s="7" t="str"/>
      <x:c r="V69" s="7" t="str">
        <x:v>PRODUCTION_CORE_INCLUDE</x:v>
      </x:c>
      <x:c r="W69" s="7" t="str">
        <x:v>PROD-03963</x:v>
      </x:c>
    </x:row>
    <x:row r="70" ht="42" customHeight="1">
      <x:c r="A70" s="10" t="str">
        <x:v>A</x:v>
      </x:c>
      <x:c r="B70" s="7" t="str">
        <x:v>CWC-CA349EAD234B</x:v>
      </x:c>
      <x:c r="C70" s="7" t="str">
        <x:v>Potential biomarkers of metal toxicity in deep-sea invertebrates – A critical review of the omics data</x:v>
      </x:c>
      <x:c r="D70" s="7" t="str">
        <x:v>Cármen Sousa | Jin Sun | Nélia C. Mestre</x:v>
      </x:c>
      <x:c r="E70" s="11" t="str">
        <x:v>2024</x:v>
      </x:c>
      <x:c r="F70" s="7" t="str">
        <x:v>The Science of The Total Environment</x:v>
      </x:c>
      <x:c r="G70" s="7" t="str">
        <x:v>article</x:v>
      </x:c>
      <x:c r="H70" s="7" t="str">
        <x:v>10.1016/j.scitotenv.2024.175628</x:v>
      </x:c>
      <x:c r="I70" s="7" t="str">
        <x:v>https://doi.org/10.1016/j.scitotenv.2024.175628</x:v>
      </x:c>
      <x:c r="J70" s="7" t="str">
        <x:v>Deep-sea mining (DSM) activities are expected to release potentially toxic metal mixtures through the generation of sediment plumes to the marine environment. This may disrupt the normal functioning of biological mechanisms, adversely affecting deep-sea invertebrate organisms. It is thus essential to understand the ecotoxicological effects from these toxic elements in deep-sea organisms and the omics approaches applied to ecotoxicology are seen as promising tools. Here, we provide an overview of the principal biological modifications identified in deep-sea invertebrates when exposed to metals and critically evaluate the current knowledge and discuss which potential biomarkers may be useful after metal exposure. Most of the 50 omics studies on deep-sea invertebrates revised are comparative transcriptomes ( n = 41). Forty-three potential biomarker candidates are highlighted from immune system, 46 from cellular metabolism and 29 from oxidative stress. The processes mostly affected by metal toxicity in deep-sea invertebrates are related to innate immune defense; sulfur, chitin, and catabolic metabolism; antioxidation; and detoxification. We acknowledge the current limitations and future perspectives for their uses and emphasize the need to invest in further ecotoxicological studies using the omics approaches. Potential biomarkers were proposed for Cnidaria (e.g. coral, anemone), Porifera (e.g. sponge), Echinodermata (e.g. sea cucumber, brittle star, sea urchin), Mollusca (e.g. clam, mussel, snail), Arthropoda (e.g. shrimp, crab, amphipod) and Annelida (e.g. tubeworm) based on several Proteomic, Transcriptomic and Metabolomic published studies. • Fifty omics studies on metal-related exposure in deep-sea invertebrates reviewed • 41 biomarkers candidates prevailed in different omics approaches and various species. • 28 potential biomarkers identified from the few studies with metal challenges • Metal toxicity induced changes in immune system, metabolism and oxidative stress. • Validated biomarkers can be helpful to implement future disturbance threshold levels.</x:v>
      </x:c>
      <x:c r="K70" s="11" t="str">
        <x:v>NO</x:v>
      </x:c>
      <x:c r="L70" s="7" t="str">
        <x:v>NOT_CONFIRMED</x:v>
      </x:c>
      <x:c r="M70" s="7" t="str"/>
      <x:c r="N70" s="7" t="str">
        <x:v>VERIFIED_BIBLIOGRAPHIC_DOCUMENT</x:v>
      </x:c>
      <x:c r="O70" s="7" t="str"/>
      <x:c r="P70" s="11" t="str"/>
      <x:c r="Q70" s="7" t="str"/>
      <x:c r="R70" s="7" t="str"/>
      <x:c r="S70" s="7" t="str"/>
      <x:c r="T70" s="7" t="str"/>
      <x:c r="U70" s="7" t="str"/>
      <x:c r="V70" s="7" t="str">
        <x:v>PRODUCTION_CORE_INCLUDE</x:v>
      </x:c>
      <x:c r="W70" s="7" t="str">
        <x:v>PROD-04089</x:v>
      </x:c>
    </x:row>
    <x:row r="71" ht="42" customHeight="1">
      <x:c r="A71" s="10" t="str">
        <x:v>A</x:v>
      </x:c>
      <x:c r="B71" s="7" t="str">
        <x:v>CWC-18A1BC367C4A</x:v>
      </x:c>
      <x:c r="C71" s="7" t="str">
        <x:v>Avoidance and Mitigation of Coral and Sponge Species During Exploratory Drilling Activities Offshore Newfoundland and Labrador</x:v>
      </x:c>
      <x:c r="D71" s="7" t="str">
        <x:v>L. Gullage | V. Hayes | B. M. Neves | N. Wells | F. Cyr | F. J. Murillo</x:v>
      </x:c>
      <x:c r="E71" s="11" t="str">
        <x:v>2022</x:v>
      </x:c>
      <x:c r="F71" s="7" t="str">
        <x:v>Federal Open Science Repository of Canada / Le Dépôt fédéral de science ouverte du Canada</x:v>
      </x:c>
      <x:c r="G71" s="7" t="str">
        <x:v>report</x:v>
      </x:c>
      <x:c r="H71" s="7" t="str"/>
      <x:c r="I71" s="7" t="str">
        <x:v>https://open-science.canada.ca/handle/123456789/1614</x:v>
      </x:c>
      <x:c r="J71" s="7" t="str">
        <x:v>An investigation was conducted into the likely impacts of exploratory drilling to coral and sponge species in the Newfoundland and Labrador (NL) region, as well as the ways in which avoidance and mitigation measures can be applied to reduce them. Impacts described in existing literature suggest that coral and sponge species may experience changes in behaviour (e.g. feeding, reproduction), fitness, and survival as a result of physical damage, exposure to chemicals, and/or excess sedimentation which result from exploratory drilling activities. As outlined in the Fisheries Act, it is recommended that a “mitigation hierarchy” of: (1) avoid, (2) mitigate, (3) offset, be used to reduce risks to biodiversity. However, because offsetting impacts would not generally be compatible with benthic conservation objectives, they are not discussed in depth in this report. Following this hierarchy, the avoidance of exploratory drilling in existing special areas that have been previously delineated based on the presence of coral and/or sponge species in high densities is essential for preserving biodiversity in the region. This would include Significant Benthic Areas (SiBAs), Vulnerable Marine Ecosystems (VMEs), and any sites where the zone of influence from exploratory drilling would overlap SiBA or VME boundaries. Avoidance in areas outside SiBAs and VMEs where the density of coral and sponge species observed during pre-drill surveys meets the thresholds used to define SiBAs and VMEs is also of high importance. In addition, various modifications to existing exploratory drilling processes, intended to mitigate the impacts to coral and sponge species, without considerations to engineering and/or economic impacts, have also been outlined within the report. They would allow for reductions to the area of impact, the amount of cuttings generated, and the release of drilling muds into the environment, thereby reducing the overall impact to coral and sponge species in the area.</x:v>
      </x:c>
      <x:c r="K71" s="11" t="str">
        <x:v>NO</x:v>
      </x:c>
      <x:c r="L71" s="7" t="str">
        <x:v>NOT_CONFIRMED</x:v>
      </x:c>
      <x:c r="M71" s="7" t="str"/>
      <x:c r="N71" s="7" t="str">
        <x:v>VERIFIED_BIBLIOGRAPHIC_DOCUMENT</x:v>
      </x:c>
      <x:c r="O71" s="7" t="str"/>
      <x:c r="P71" s="11" t="str"/>
      <x:c r="Q71" s="7" t="str"/>
      <x:c r="R71" s="7" t="str"/>
      <x:c r="S71" s="7" t="str"/>
      <x:c r="T71" s="7" t="str"/>
      <x:c r="U71" s="7" t="str"/>
      <x:c r="V71" s="7" t="str">
        <x:v>PRODUCTION_CORE_INCLUDE</x:v>
      </x:c>
      <x:c r="W71" s="7" t="str">
        <x:v>PROD-04208</x:v>
      </x:c>
    </x:row>
    <x:row r="72" ht="42" customHeight="1">
      <x:c r="A72" s="10" t="str">
        <x:v>A</x:v>
      </x:c>
      <x:c r="B72" s="7" t="str">
        <x:v>CWC-D01C5CAA9EF2</x:v>
      </x:c>
      <x:c r="C72" s="7" t="str">
        <x:v>The CORAMM (Coral Risk Assessment, Monitoring and Modelling</x:v>
      </x:c>
      <x:c r="D72" s="7" t="str">
        <x:v>Laurenz Thomsen | Raeid M. M. Abed | Elke Allers | Melanie Bergmann | Dirk de Beer | Sarah Johnsen | Frederik De Laender | Ann I. Larsson | Tomas Lundälv | Tim W. Nattkemper | Ingunn Nilssen | Dick van Oevelen | Jörg Ontrup | Autun Purser | I. Rønning | Mathijs G.D. Smit | Usha Unnithan | Hannes Wagner | Tingting Wang</x:v>
      </x:c>
      <x:c r="E72" s="11" t="str">
        <x:v>2009</x:v>
      </x:c>
      <x:c r="F72" s="7" t="str">
        <x:v>Helmholtz-Zentrum für Polar-und Meeresforschung (Alfred-Wegener-Institut)</x:v>
      </x:c>
      <x:c r="G72" s="7" t="str">
        <x:v>conference-paper</x:v>
      </x:c>
      <x:c r="H72" s="7" t="str"/>
      <x:c r="I72" s="7" t="str">
        <x:v>https://epic.awi.de/id/eprint/20430/1/Tho2009a.pdf</x:v>
      </x:c>
      <x:c r="J72" s="7" t="str">
        <x:v>CORAMM aims to improve our knowledge of the impacts of high suspended sediment loads and drill cuttings on cold water coral communities. The project is multidisciplinary in approach, with sedimentologists, biologists, modellers and representatives from StatoilHydro all involved in furthering the current understanding of these ecosystems. CORAMM has 4 workpackages: WP1 concentrates on the development of novel video and image analysis tools to enable a better and faster evaluation of Lophelia pertusa community structure and health status. WP2 assembles and further develops sensor systems for environmental monitoring with special emphasis on particle dynamics. These systems can be used as autonomous stand-alone units or can be linked to the internet. WP3 carries out specific experiments with live coral colonies to elucidate and predict the effect of different particle size and microbial composition. WP4 will build advanced ecosystem models for cold water corals and use a physiology- based approach to predict the effect of different sediment loads on the performance of cold water corals. Here, we present the outcome of the first 18 months of research.</x:v>
      </x:c>
      <x:c r="K72" s="11" t="str">
        <x:v>NO</x:v>
      </x:c>
      <x:c r="L72" s="7" t="str">
        <x:v>NOT_CONFIRMED</x:v>
      </x:c>
      <x:c r="M72" s="7" t="str"/>
      <x:c r="N72" s="7" t="str">
        <x:v>VERIFIED_BIBLIOGRAPHIC_DOCUMENT</x:v>
      </x:c>
      <x:c r="O72" s="7" t="str"/>
      <x:c r="P72" s="11" t="str"/>
      <x:c r="Q72" s="7" t="str"/>
      <x:c r="R72" s="7" t="str"/>
      <x:c r="S72" s="7" t="str"/>
      <x:c r="T72" s="7" t="str"/>
      <x:c r="U72" s="7" t="str"/>
      <x:c r="V72" s="7" t="str">
        <x:v>PRODUCTION_CORE_INCLUDE</x:v>
      </x:c>
      <x:c r="W72" s="7" t="str">
        <x:v>PROD-04643</x:v>
      </x:c>
    </x:row>
    <x:row r="73" ht="42" customHeight="1">
      <x:c r="A73" s="10" t="str">
        <x:v>A</x:v>
      </x:c>
      <x:c r="B73" s="7" t="str">
        <x:v>CWC-E4592A38921D</x:v>
      </x:c>
      <x:c r="C73" s="7" t="str">
        <x:v>Side Scan Sonar and TV Observations of the Benthic Environment and Megabenthos in the Vicinity of an OCS Exploratory Well in the Middle Atlantic Bight</x:v>
      </x:c>
      <x:c r="D73" s="7" t="str">
        <x:v>Robert Gillmor | C. Menzie | John H. Ryther</x:v>
      </x:c>
      <x:c r="E73" s="11" t="str">
        <x:v>1981</x:v>
      </x:c>
      <x:c r="F73" s="7" t="str">
        <x:v>OCEANS 1981 conference proceedings</x:v>
      </x:c>
      <x:c r="G73" s="7" t="str">
        <x:v>conference-paper</x:v>
      </x:c>
      <x:c r="H73" s="7" t="str">
        <x:v>10.1109/oceans.1981.1151503</x:v>
      </x:c>
      <x:c r="I73" s="7" t="str">
        <x:v>https://doi.org/10.1109/oceans.1981.1151503</x:v>
      </x:c>
      <x:c r="J73" s="7" t="str">
        <x:v>The benthic megafauna and physical environment around an exploratory well site in the Mid-Atlantic were observed with side-scan sonar and bottom TV prior to, two weeks after, and one year after drilling. Physical alterations (anchor scours, cuttings and debris accumulation) were seen two weeks and one year after drilling. Two weeks after, increases in demersal fish (primarily hake) and decapods (primarily Cancer crabs) were observed. Increases were most evident near the well site and appeared associated with the increased microrelief. Mussel accumulations around the site may also have attracted these species. One year after drilling, hake density was still elevated near the site, but mussels and Cancer densities were not. Decapod densities (particularly galatheid crabs) were lower within 500 meters of the site than beyond, perhaps because of hake predation. Sessile megabenthos (e.g., sea pens) may have been buried by cuttings in the immediate vicinity, but burial effects were not as evident one year later.</x:v>
      </x:c>
      <x:c r="K73" s="11" t="str">
        <x:v>NO</x:v>
      </x:c>
      <x:c r="L73" s="7" t="str">
        <x:v>NOT_CONFIRMED</x:v>
      </x:c>
      <x:c r="M73" s="7" t="str"/>
      <x:c r="N73" s="7" t="str">
        <x:v>VERIFIED_BIBLIOGRAPHIC_DOCUMENT</x:v>
      </x:c>
      <x:c r="O73" s="7" t="str"/>
      <x:c r="P73" s="11" t="str"/>
      <x:c r="Q73" s="7" t="str"/>
      <x:c r="R73" s="7" t="str"/>
      <x:c r="S73" s="7" t="str"/>
      <x:c r="T73" s="7" t="str"/>
      <x:c r="U73" s="7" t="str"/>
      <x:c r="V73" s="7" t="str">
        <x:v>PRODUCTION_CORE_INCLUDE</x:v>
      </x:c>
      <x:c r="W73" s="7" t="str">
        <x:v>PROD-04650</x:v>
      </x:c>
    </x:row>
    <x:row r="74" ht="42" customHeight="1">
      <x:c r="A74" s="10" t="str">
        <x:v>A</x:v>
      </x:c>
      <x:c r="B74" s="7" t="str">
        <x:v>CWC-012A353EA28C</x:v>
      </x:c>
      <x:c r="C74" s="7" t="str">
        <x:v>Sediment impacts on sponges and a deep-sea coral in New Zealand</x:v>
      </x:c>
      <x:c r="D74" s="7" t="str">
        <x:v>Valeria Mobilia</x:v>
      </x:c>
      <x:c r="E74" s="11" t="str">
        <x:v>2021</x:v>
      </x:c>
      <x:c r="F74" s="7" t="str">
        <x:v>Victoria University of Wellington</x:v>
      </x:c>
      <x:c r="G74" s="7" t="str">
        <x:v>dissertation</x:v>
      </x:c>
      <x:c r="H74" s="7" t="str">
        <x:v>10.26686/wgtn.17096843</x:v>
      </x:c>
      <x:c r="I74" s="7" t="str">
        <x:v>https://doi.org/10.26686/wgtn.17096843</x:v>
      </x:c>
      <x:c r="J74" s="7" t="str">
        <x:v>Increased levels of suspended sediment in the water column are important factors contributing to the degradation of marine ecosystems worldwide. In coastal waters, temporal variation in suspended sediment concentrations (SSCs) occurs naturally due to seasonal and oceanographic processes. However, there is evidence that anthropogenic activities are increasing sediment concentrations. The volume of sediment moving from land-based sources into coastal ecosystems and human activities in the ocean disturbing the seafloor, such as dredging and bottom-contact fisheries, have been increasing over the last century. In addition, offshore activities, particularly bottom-contact fishing and potential deep-sea mining, can create sediment plumes in the deep-sea that may extend over long distances. Elevated suspended sediment concentrations have detrimental effects on benthic communities, particularly for suspension feeders like sponges and corals. The aim of this thesis was to investigate the effects of increased SSCs that might arise from heavy anthropogenic disturbance on common shallow water and deep-sea sponges and a deep-sea coral in New Zealand, as these groups contribute to habitat structure in some benthic environments, including the deep sea.</x:v>
      </x:c>
      <x:c r="K74" s="11" t="str">
        <x:v>YES</x:v>
      </x:c>
      <x:c r="L74" s="7" t="str">
        <x:v>FROZEN_PUBLIC_FULL_TEXT_LOCATION</x:v>
      </x:c>
      <x:c r="M74" s="7" t="str">
        <x:v>https://openaccess.wgtn.ac.nz/articles/thesis/Sediment_impacts_on_sponges_and_a_deep-sea_coral_in_New_Zealand/17096843/1/files/31615100.pdf</x:v>
      </x:c>
      <x:c r="N74" s="7" t="str">
        <x:v>VERIFIED_BIBLIOGRAPHIC_DOCUMENT</x:v>
      </x:c>
      <x:c r="O74" s="7" t="str"/>
      <x:c r="P74" s="11" t="str"/>
      <x:c r="Q74" s="7" t="str"/>
      <x:c r="R74" s="7" t="str"/>
      <x:c r="S74" s="7" t="str"/>
      <x:c r="T74" s="7" t="str"/>
      <x:c r="U74" s="7" t="str"/>
      <x:c r="V74" s="7" t="str">
        <x:v>PRODUCTION_CORE_INCLUDE</x:v>
      </x:c>
      <x:c r="W74" s="7" t="str">
        <x:v>PROD-05279</x:v>
      </x:c>
    </x:row>
    <x:row r="75" ht="42" customHeight="1">
      <x:c r="A75" s="10" t="str">
        <x:v>A</x:v>
      </x:c>
      <x:c r="B75" s="7" t="str">
        <x:v>CWC-C5FAED17E7BF</x:v>
      </x:c>
      <x:c r="C75" s="7" t="str">
        <x:v>Susceptibility of the Soft Coral Gersemia rubiformis to Capture by Hydraulic Clam Dredges off Eastern Canada: The Significance of Soft Coral-Shell Associations</x:v>
      </x:c>
      <x:c r="D75" s="7" t="str">
        <x:v>Kent D. Gilkinson | Donald C. Gordon Jr. | D. L. McKeown | Dale Roddick | Ellen L. R. Kenchington | K. G. MacIsaac | C. Bourbonnais | W. P. Vass</x:v>
      </x:c>
      <x:c r="E75" s="11" t="str">
        <x:v>2005</x:v>
      </x:c>
      <x:c r="F75" s="7" t="str">
        <x:v>Benthic Habitats and the Effects of Fishing; American Fisheries Society Symposium 41</x:v>
      </x:c>
      <x:c r="G75" s="7" t="str">
        <x:v>book-chapter</x:v>
      </x:c>
      <x:c r="H75" s="7" t="str">
        <x:v>10.47886/9781888569605.ch65</x:v>
      </x:c>
      <x:c r="I75" s="7" t="str">
        <x:v>https://doi.org/10.47886/9781888569605.ch65</x:v>
      </x:c>
      <x:c r="J75" s="7" t="str">
        <x:v>Abstract. Soft corals (order Alcyonacea) are common on low-relief seabeds on the eastern Canadian shelf where they attach to empty shells and gravel. The effect of hydraulic clam dredging on the abundance of soft corals (specifically Gersemia rubiformis ) was investigated on a sandy seabed at depths of 70–80 m on Banquereau, off eastern Canada. Visible soft corals were counted from video taken in two dredged and reference boxes before dredging; immediately after dredging; and 2 weeks, 1 year, and 2 years after dredging. Experimental dredging followed standard commercial practices. Dredge tracks covered approximately 53% and 68% of the surface area inside the two dredging boxes, and, although postdredging video surveys were conducted in heavily disturbed areas, no detectable effects of dredging on soft coral abundances were seen. However, the power of the analysis of variance was relatively low (0.6). Low dredge capture rates of soft corals also could partially explain the absence of an observed dredging effect on soft coral abundances. Dredge bycatch from the two dredging boxes showed that soft coral capture rates were variable and generally low (2% and 19%). In this sandy habitat, soft corals attach to empty shells at frequencies of 84% and higher. Most of the shell-attached soft corals were probably displaced from the dredge path through dredge-generated water turbulence. There are two spatial patterns of soft coral–shell associations on Banquereau. There is a low background density of soft corals (averaging 1–5 per 15 m2) with scattered patches (15–50 m in diameter) of dense accumulations of empty shells with attached epifauna including soft corals at higher abundances. It is expected that dredging through these dense patches, which are expected to be relatively hydrodynamically stable, would result in greater bycatch and damage to soft corals and disruption of these structurally complex seabed features.</x:v>
      </x:c>
      <x:c r="K75" s="11" t="str">
        <x:v>NO</x:v>
      </x:c>
      <x:c r="L75" s="7" t="str">
        <x:v>NOT_CONFIRMED</x:v>
      </x:c>
      <x:c r="M75" s="7" t="str"/>
      <x:c r="N75" s="7" t="str">
        <x:v>VERIFIED_BIBLIOGRAPHIC_DOCUMENT</x:v>
      </x:c>
      <x:c r="O75" s="7" t="str"/>
      <x:c r="P75" s="11" t="str"/>
      <x:c r="Q75" s="7" t="str"/>
      <x:c r="R75" s="7" t="str"/>
      <x:c r="S75" s="7" t="str"/>
      <x:c r="T75" s="7" t="str"/>
      <x:c r="U75" s="7" t="str"/>
      <x:c r="V75" s="7" t="str">
        <x:v>PRODUCTION_CORE_INCLUDE</x:v>
      </x:c>
      <x:c r="W75" s="7" t="str">
        <x:v>PROD-05429</x:v>
      </x:c>
    </x:row>
    <x:row r="76" ht="42" customHeight="1">
      <x:c r="A76" s="10" t="str">
        <x:v>A</x:v>
      </x:c>
      <x:c r="B76" s="7" t="str">
        <x:v>CWC-F465BA58B9FB</x:v>
      </x:c>
      <x:c r="C76" s="7" t="str">
        <x:v>Assessing Exploratory Drilling Impacts on an Arctic Deepwater Sea-Pen Habitat in Offshore Norway</x:v>
      </x:c>
      <x:c r="D76" s="7" t="str">
        <x:v>J. E. Paulsen | Sabine Cochrane | Øyvind Leikvin | Jesper Hansen | Hans E. Torbergsen | Stefano Pierfelici</x:v>
      </x:c>
      <x:c r="E76" s="11" t="str">
        <x:v>2014</x:v>
      </x:c>
      <x:c r="F76" s="7" t="str">
        <x:v>Society of Petroleum Engineers conference proceedings</x:v>
      </x:c>
      <x:c r="G76" s="7" t="str">
        <x:v>conference-paper</x:v>
      </x:c>
      <x:c r="H76" s="7" t="str">
        <x:v>10.2118/168343-ms</x:v>
      </x:c>
      <x:c r="I76" s="7" t="str">
        <x:v>https://doi.org/10.2118/168343-ms</x:v>
      </x:c>
      <x:c r="J76" s="7" t="str">
        <x:v>Abstract Drilling in Norwegian Arctic waters provokes concern regarding potential impacts on commercial fisheries and the marine environment. Of particular concern are deep-water sponge and sea-pen habitats. Drilling permits require environmental surveys to be carried out before and after drilling, to document drill cutting impacts. Lack of data on bottom currents in deep, northern waters may introduce errors in deposition models. This study aimed to provide data for environmental waste management in the Norwegian Arctic, at a drilling location at approximately 1400 m depth, inhabited by the deep-water seapen tentatively identified as Umbellula enchrinus, which occurs along the continental slope across the entire European Arctic. More than 70 Umbellula colonies were mapped using underwater video within approximately 1 km2 around the drilling location. Four surveys were carried out between 2010 and 2013, covering pre- and post-drilling conditions. Sediment core samples were taken before and after drilling to quantify the thickness and spatial extent of deposited drill cuttings. An Acoustic Doppler Current Profiler (ADCP) was deployed to measure water currents in the lower 450 m of the water column, at high resolution, during the entire drilling period. The upper water masses comprised northward-flowing Atlantic water, with cold Norwegian Sea Deep Water in the lowest 200 m overlying the seabed. Visible deposition of drill cuttings was restricted to within 100 m from the drilling location in most directions, and extending to around 150 m to the south-west, in accordance with bottom water movements. Exposure to cuttings deposition was not lethal, but organisms immediately near the well were mechanically destroyed. This likely is the most detailed investigation of live Umbellula organisms world-wide, and contributes to biological research on drilling impacts. Innovative water column measurements and drill cuttings impact assessments provide data for planning environmentally-sound drilling waste management strategies for offshore operations in Arctic Norway.</x:v>
      </x:c>
      <x:c r="K76" s="11" t="str">
        <x:v>NO</x:v>
      </x:c>
      <x:c r="L76" s="7" t="str">
        <x:v>NOT_CONFIRMED</x:v>
      </x:c>
      <x:c r="M76" s="7" t="str"/>
      <x:c r="N76" s="7" t="str">
        <x:v>VERIFIED_BIBLIOGRAPHIC_DOCUMENT</x:v>
      </x:c>
      <x:c r="O76" s="7" t="str"/>
      <x:c r="P76" s="11" t="str"/>
      <x:c r="Q76" s="7" t="str"/>
      <x:c r="R76" s="7" t="str"/>
      <x:c r="S76" s="7" t="str"/>
      <x:c r="T76" s="7" t="str"/>
      <x:c r="U76" s="7" t="str"/>
      <x:c r="V76" s="7" t="str">
        <x:v>PRODUCTION_CORE_INCLUDE</x:v>
      </x:c>
      <x:c r="W76" s="7" t="str">
        <x:v>PROD-05674</x:v>
      </x:c>
    </x:row>
    <x:row r="77" ht="42" customHeight="1">
      <x:c r="A77" s="10" t="str">
        <x:v>A</x:v>
      </x:c>
      <x:c r="B77" s="7" t="str">
        <x:v>CWC-8DE4EC6DEA6A</x:v>
      </x:c>
      <x:c r="C77" s="7" t="str">
        <x:v>Ecological consequences of exploration drilling on coral reefs in the Træna Deep</x:v>
      </x:c>
      <x:c r="D77" s="7" t="str">
        <x:v>Pål Buhl‐Mortensen | Aivo Lepland</x:v>
      </x:c>
      <x:c r="E77" s="11" t="str">
        <x:v>2007</x:v>
      </x:c>
      <x:c r="F77" s="7" t="str">
        <x:v>Duo Research Archive (University of Oslo)</x:v>
      </x:c>
      <x:c r="G77" s="7" t="str">
        <x:v>report</x:v>
      </x:c>
      <x:c r="H77" s="7" t="str"/>
      <x:c r="I77" s="7" t="str">
        <x:v>http://hdl.handle.net/11250/112721</x:v>
      </x:c>
      <x:c r="J77" s="7" t="str">
        <x:v>Coral reefs, skeleton samples and bottom sediments in the vicinity of the hydrocarbon exploration test well in the Træna Deep have been studied to assess the ecological effects and "health status" of Lophelia coral reefs. The fieldwork was carried out in June 2005, providing skeleton and sediment samples from 33 locations, video-recordings from eight dives with Remotely Operated Vehicle (ROV), and data on water movement from three current meters located at different sites. Current velocity and direction were recorded over a period of six days. The velocity varied between 0 and 27 cm/s, with the weakest currents in the area close to the exploration drilling site, and the strongest currents at the reference site about 12 km southeast of the drilling site. The current pattern showed tidal influence with a strong westward component. This current pattern was also reflected in the eastward growth of the coral reefs and by the orientation of fan-shaped gorgonian corals facing in the same direction. The analysis of video-records did not reveal clear difference in "health" status between reefs up-current or down-current to the drill site. The reefs consisted typically of a living "frontal" zone facing the currents, and a dead "tail" extending down-current for up to ca. 150 m. analysis of skeleton thin sections revealed that it is possible to establish the chronology and thrack the years in skeletons when the explorations drilling occured. The relatively coarse-gained sediments in the area made it possible to obtain seminent cores of limited length (5 - 30 cm), but several cores contain elevated Ba/barite concrentration at the sediment surface or just below. The geographic distribution of Ba content in sediments allowed the reconstruction of drilling mud disperal pattern westward from the drilling site, cinsistent with the prevailing current directions. Barite crystals, derived from the drilling mud, were identified among trapped sediments in the skeleton cavities of dead coral polyps older than six years. Highest barite concentrations was found in a polyp older than 13 years. The presence of relatively coarse-gained sediments abd drilling mud components in the coral polyps ca. 600 m down current from the drilling site signals the elevated turbulance and sediment supply during the drilling acitivty. This elevated sediment dispersion was likely having an influence upon the coral reefs, but due to the relatively shor duration of the drilling campaign and strong currents that effectively dilute episodic sediment discharges the damage was apparently not significant. Thus the results provide only minor indications of negative effects of drilling mud discharge on the cold-water coral Lophelia pertusa, but demonstrate that the method developed here can be used to trace exposure to elevated particle load originating from drilling activity.</x:v>
      </x:c>
      <x:c r="K77" s="11" t="str">
        <x:v>NO</x:v>
      </x:c>
      <x:c r="L77" s="7" t="str">
        <x:v>NOT_CONFIRMED</x:v>
      </x:c>
      <x:c r="M77" s="7" t="str"/>
      <x:c r="N77" s="7" t="str">
        <x:v>VERIFIED_BIBLIOGRAPHIC_DOCUMENT</x:v>
      </x:c>
      <x:c r="O77" s="7" t="str"/>
      <x:c r="P77" s="11" t="str"/>
      <x:c r="Q77" s="7" t="str"/>
      <x:c r="R77" s="7" t="str"/>
      <x:c r="S77" s="7" t="str"/>
      <x:c r="T77" s="7" t="str"/>
      <x:c r="U77" s="7" t="str"/>
      <x:c r="V77" s="7" t="str">
        <x:v>PRODUCTION_CORE_INCLUDE</x:v>
      </x:c>
      <x:c r="W77" s="7" t="str">
        <x:v>PROD-05675</x:v>
      </x:c>
    </x:row>
    <x:row r="78" ht="42" customHeight="1">
      <x:c r="A78" s="10" t="str">
        <x:v>A</x:v>
      </x:c>
      <x:c r="B78" s="7" t="str">
        <x:v>CWC-F0F8871A2A32</x:v>
      </x:c>
      <x:c r="C78" s="7" t="str">
        <x:v>Decommissioning of subsea oil and gas production pipelines: hydrodynamic modeling for preliminary assessment of sediment resuspension and burial onto benthic organisms</x:v>
      </x:c>
      <x:c r="D78" s="7" t="str">
        <x:v>P. Paiva; J. L. Junior; E. Calderon; M. Juliano; M. M. Molisani</x:v>
      </x:c>
      <x:c r="E78" s="11" t="str">
        <x:v>2020</x:v>
      </x:c>
      <x:c r="F78" s="7" t="str">
        <x:v>Journal of Integrated Coastal Zone Management</x:v>
      </x:c>
      <x:c r="G78" s="7" t="str">
        <x:v>article</x:v>
      </x:c>
      <x:c r="H78" s="7" t="str">
        <x:v>10.5894/rgci-n286</x:v>
      </x:c>
      <x:c r="I78" s="7" t="str">
        <x:v>https://doi.org/10.5894/rgci-n286</x:v>
      </x:c>
      <x:c r="J78" s="7" t="str">
        <x:v>Many offshore oil and gas fields in Brazil are reaching the end of their economic productive life, which has increasing the demand for decisions about decommissioning of the offshore exploration structures such as subsea pipelines. However, removing, retaining or relocating subsea infrastructure have potential impacts on the marine environment caused by seabed perturbation. Using the MOHID hydrodynamic software, this study simulated resuspension, similar to those caused by pipelines recovery operations, and estimated the deposited particle layer onto rhodoliths and deep-water coral in continental shelf and slope in different sediment grain-size typologies. According to the proposed scenarios, simulation of resuspension indicated that particle deposition exceeded the burial thresholds (5.0 mm to rhodoliths and 6.3 mm for deep-water corals), while only in the continental shelf with fine sand seabed, the subsea pipeline removing didn’t represent burial risk for considered benthic organisms.</x:v>
      </x:c>
      <x:c r="K78" s="11" t="str">
        <x:v>YES</x:v>
      </x:c>
      <x:c r="L78" s="7" t="str">
        <x:v>FROZEN_PUBLIC_FULL_TEXT_LOCATION</x:v>
      </x:c>
      <x:c r="M78" s="7" t="str">
        <x:v>https://www.sintef.no/globalassets/project/erms/reports/erms-report-no-9b_burial_rf-am.pdf</x:v>
      </x:c>
      <x:c r="N78" s="7" t="str">
        <x:v>VERIFIED_BIBLIOGRAPHIC_DOCUMENT</x:v>
      </x:c>
      <x:c r="O78" s="7" t="str"/>
      <x:c r="P78" s="11" t="str"/>
      <x:c r="Q78" s="7" t="str"/>
      <x:c r="R78" s="7" t="str"/>
      <x:c r="S78" s="7" t="str"/>
      <x:c r="T78" s="7" t="str"/>
      <x:c r="U78" s="7" t="str"/>
      <x:c r="V78" s="7" t="str">
        <x:v>PRODUCTION_CORE_INCLUDE</x:v>
      </x:c>
      <x:c r="W78" s="7" t="str">
        <x:v>PROD-06781</x:v>
      </x:c>
    </x:row>
    <x:row r="79" ht="42" customHeight="1">
      <x:c r="A79" s="10" t="str">
        <x:v>A</x:v>
      </x:c>
      <x:c r="B79" s="7" t="str">
        <x:v>CWC-8E3088960DAC</x:v>
      </x:c>
      <x:c r="C79" s="7" t="str">
        <x:v>Regional guidance on measures to protect corals and sponges during exploratory drilling</x:v>
      </x:c>
      <x:c r="D79" s="7" t="str">
        <x:v>Fisheries and Oceans Canada</x:v>
      </x:c>
      <x:c r="E79" s="11" t="str">
        <x:v>2023</x:v>
      </x:c>
      <x:c r="F79" s="7" t="str">
        <x:v>Fisheries and Oceans Canada</x:v>
      </x:c>
      <x:c r="G79" s="7" t="str">
        <x:v>government_report</x:v>
      </x:c>
      <x:c r="H79" s="7" t="str"/>
      <x:c r="I79" s="7" t="str">
        <x:v>https://www.dfo-mpo.gc.ca/publications/pnw-ppe/coral-sponge-caraux-eponges/nfl-guidance-directives-report-rapport-tnl-eng.html?wbdisable=false</x:v>
      </x:c>
      <x:c r="J79" s="7" t="str">
        <x:v>Coral condition: The degree of impact on corals and sponges from smothering is outlined in the DNV handbook as a low impact from sediment deposition of 1-3 mm, a moderate impact from 3-10 mm and a significant impact from &gt;10 mm, which is in line with the conservative 1.5 mm PNET used for sensitive species in drill cuttings dispersion models and survey programs (DFO, 2021; DNV, 2019). Although coral health is a new area of research, there are elements of coral condition that can be used as a [...] in the NAFO Regulatory Area (NRA) using kernel density estimation (KDE). Sponges represent the hig</x:v>
      </x:c>
      <x:c r="K79" s="11" t="str">
        <x:v>YES</x:v>
      </x:c>
      <x:c r="L79" s="7" t="str">
        <x:v>FROZEN_PUBLIC_FULL_TEXT_LOCATION</x:v>
      </x:c>
      <x:c r="M79" s="7" t="str">
        <x:v>https://www.dfo-mpo.gc.ca/publications/pnw-ppe/coral-sponge-caraux-eponges/nfl-guidance-directives-report-rapport-tnl-eng.html</x:v>
      </x:c>
      <x:c r="N79" s="7" t="str">
        <x:v>VERIFIED_BIBLIOGRAPHIC_DOCUMENT</x:v>
      </x:c>
      <x:c r="O79" s="7" t="str"/>
      <x:c r="P79" s="11" t="str"/>
      <x:c r="Q79" s="7" t="str"/>
      <x:c r="R79" s="7" t="str"/>
      <x:c r="S79" s="7" t="str"/>
      <x:c r="T79" s="7" t="str"/>
      <x:c r="U79" s="7" t="str"/>
      <x:c r="V79" s="7" t="str">
        <x:v>PRODUCTION_CORE_INCLUDE</x:v>
      </x:c>
      <x:c r="W79" s="7" t="str">
        <x:v>PROD-07524</x:v>
      </x:c>
    </x:row>
    <x:row r="80" ht="42" customHeight="1">
      <x:c r="A80" s="10" t="str">
        <x:v>A</x:v>
      </x:c>
      <x:c r="B80" s="7" t="str">
        <x:v>CWC-E8159C6B658B</x:v>
      </x:c>
      <x:c r="C80" s="7" t="str">
        <x:v>Effects of Sediment on Glass Sponges (Porifera, Hexactinellida) and Projected Effects on Glass Sponge Reefs</x:v>
      </x:c>
      <x:c r="D80" s="7" t="str">
        <x:v>Sally P. Leys</x:v>
      </x:c>
      <x:c r="E80" s="11" t="str">
        <x:v>2013</x:v>
      </x:c>
      <x:c r="F80" s="7" t="str">
        <x:v>DFO Canadian Science Advisory Secretariat Research Document 2013/074</x:v>
      </x:c>
      <x:c r="G80" s="7" t="str">
        <x:v>government_report</x:v>
      </x:c>
      <x:c r="H80" s="7" t="str"/>
      <x:c r="I80" s="7" t="str">
        <x:v>https://www.dfo-mpo.gc.ca/csas-sccs/Publications/ResDocs-DocRech/2013/2013_074-eng.html</x:v>
      </x:c>
      <x:c r="J80" s="7" t="str">
        <x:v>Apr 11, 2013 — Clogging by sediment reduces filtration in the glass reef sponge by 50-80% of normal levels. Glass reef sponges rely on induced current to ...Read more</x:v>
      </x:c>
      <x:c r="K80" s="11" t="str">
        <x:v>YES</x:v>
      </x:c>
      <x:c r="L80" s="7" t="str">
        <x:v>FROZEN_PUBLIC_FULL_TEXT_LOCATION</x:v>
      </x:c>
      <x:c r="M80" s="7" t="str">
        <x:v>https://www.dfo-mpo.gc.ca/csas-sccs/Publications/ResDocs-DocRech/2013/2013_074-eng.html</x:v>
      </x:c>
      <x:c r="N80" s="7" t="str">
        <x:v>VERIFIED_BIBLIOGRAPHIC_DOCUMENT</x:v>
      </x:c>
      <x:c r="O80" s="7" t="str"/>
      <x:c r="P80" s="11" t="str"/>
      <x:c r="Q80" s="7" t="str"/>
      <x:c r="R80" s="7" t="str"/>
      <x:c r="S80" s="7" t="str"/>
      <x:c r="T80" s="7" t="str"/>
      <x:c r="U80" s="7" t="str"/>
      <x:c r="V80" s="7" t="str">
        <x:v>PRODUCTION_CORE_INCLUDE</x:v>
      </x:c>
      <x:c r="W80" s="7" t="str">
        <x:v>PROD-07591</x:v>
      </x:c>
    </x:row>
    <x:row r="81" ht="42" customHeight="1">
      <x:c r="A81" s="10" t="str">
        <x:v>A</x:v>
      </x:c>
      <x:c r="B81" s="7" t="str">
        <x:v>CWC-72933D6D2377</x:v>
      </x:c>
      <x:c r="C81" s="7" t="str">
        <x:v>Effects of Dredging-Related Stressors on Sponges: Laboratory Experiments</x:v>
      </x:c>
      <x:c r="D81" s="7" t="str">
        <x:v>Maria-Cristina Pineda | Ben Strehlow | Alan Duckworth | Nicole S. Webster</x:v>
      </x:c>
      <x:c r="E81" s="11" t="str">
        <x:v>2017</x:v>
      </x:c>
      <x:c r="F81" s="7" t="str">
        <x:v>Western Australian Marine Science Institution</x:v>
      </x:c>
      <x:c r="G81" s="7" t="str">
        <x:v>consultancy_report</x:v>
      </x:c>
      <x:c r="H81" s="7" t="str"/>
      <x:c r="I81" s="7" t="str">
        <x:v>https://wamsi.org.au/app/uploads/2019/10/Dredging-Science-Final-Report-PROJ-6.4-Effects-of-dredging-related-stressors-on-sponges-Pineda-et-al-November-2017.pdf</x:v>
      </x:c>
      <x:c r="J81" s="7" t="str">
        <x:v>Due to their nutritional dependence on the products of photosynthesis, phototrophic sponges may be par-ticularly sensitive to turbidity (water cloudiness) and light reduction caused by increased suspended sediments in the water column14–17. One cause of high turbidity is dredging of the sea bed and the subsequent disposal of the sediment at offshore dredge material placement sites18. Recent analyses of the effects of plumes from dredging have shown the marked effects the suspended sediments can [...] responses of the deep-water sponge Geodia barretti exposed to suspended sediments. Aquat. Biol</x:v>
      </x:c>
      <x:c r="K81" s="11" t="str">
        <x:v>YES</x:v>
      </x:c>
      <x:c r="L81" s="7" t="str">
        <x:v>FROZEN_PUBLIC_FULL_TEXT_LOCATION</x:v>
      </x:c>
      <x:c r="M81" s="7" t="str">
        <x:v>https://wamsi.org.au/app/uploads/2019/10/Dredging-Science-Final-Report-PROJ-6.4-Effects-of-dredging-related-stressors-on-sponges-Pineda-et-al-November-2017.pdf</x:v>
      </x:c>
      <x:c r="N81" s="7" t="str">
        <x:v>VERIFIED_FULL_DOCUMENT_LOCATION</x:v>
      </x:c>
      <x:c r="O81" s="7" t="str"/>
      <x:c r="P81" s="11" t="str"/>
      <x:c r="Q81" s="7" t="str"/>
      <x:c r="R81" s="7" t="str"/>
      <x:c r="S81" s="7" t="str"/>
      <x:c r="T81" s="7" t="str"/>
      <x:c r="U81" s="7" t="str"/>
      <x:c r="V81" s="7" t="str">
        <x:v>PRODUCTION_CORE_INCLUDE</x:v>
      </x:c>
      <x:c r="W81" s="7" t="str">
        <x:v>PROD-07617</x:v>
      </x:c>
    </x:row>
    <x:row r="82" ht="42" customHeight="1">
      <x:c r="A82" s="10" t="str">
        <x:v>A</x:v>
      </x:c>
      <x:c r="B82" s="7" t="str">
        <x:v>CWC-BED56803B049</x:v>
      </x:c>
      <x:c r="C82" s="7" t="str">
        <x:v>Conservation and Restoration of Cold-Water Corals: CORDAP R&amp;D Technology Roadmap</x:v>
      </x:c>
      <x:c r="D82" s="7" t="str">
        <x:v>Qian Liu | Alex D. Rogers | Cassandra Roch | J. Gordon | Carlos M. Duarte | Laura F. Robinson | Rhian G. Waller | Christine Ferrier-Pagès | Sandra Brooke | Marina Carreiro-Silva | Kristopher Benson | M. L. De Carvalho Ferreira | C. Du Preez | S. Banks | James P. Barry | R. T. S. Cordeiro | Erik Cordes | Sebastian Hennige | T. F. Hourigan | M. V. Kitahara | Tina Kutti | Anna I. Larsson | D. M. Lauretta | A. K. Matsumoto | R. E. Ross | Eva Ramirez-Llodra | A. B. Yánez Suárez | Evan Edinger | A. Metaxas | Z. N. P. Filander | M. L. Taylor</x:v>
      </x:c>
      <x:c r="E82" s="11" t="str">
        <x:v>2024</x:v>
      </x:c>
      <x:c r="F82" s="7" t="str">
        <x:v>Coral Research &amp; Development Accelerator Platform</x:v>
      </x:c>
      <x:c r="G82" s="7" t="str">
        <x:v>consultancy_report</x:v>
      </x:c>
      <x:c r="H82" s="7" t="str"/>
      <x:c r="I82" s="7" t="str">
        <x:v>https://cordap.org/wp-content/uploads/CORDAP-Cold-Water-Corals_Aug2024.pdf</x:v>
      </x:c>
      <x:c r="J82" s="7" t="str">
        <x:v>the scleractinian Desmophyllum pertusum had significant polyp mortality following burial by 6.5 mm of drill cuttings, the maximum permissible under environmental risk assessments in Norway (Larsson and Purser, 2011). High particle concentrations over longer periods resulted in reduced skeletal growth and reduced larval survival, indicating early life stages may be particularly vulnerable to drill cutting exposure (Larsson et al., 2013a). The Deep-Water Horizon blowout in 2010 led to impacts on [...] 1982). A sufficient understanding of the food sources of Octocorallia is lacking, as well as fo</x:v>
      </x:c>
      <x:c r="K82" s="11" t="str">
        <x:v>YES</x:v>
      </x:c>
      <x:c r="L82" s="7" t="str">
        <x:v>FROZEN_PUBLIC_FULL_TEXT_LOCATION</x:v>
      </x:c>
      <x:c r="M82" s="7" t="str">
        <x:v>https://cordap.org/wp-content/uploads/CORDAP-Cold-Water-Corals_Aug2024.pdf</x:v>
      </x:c>
      <x:c r="N82" s="7" t="str">
        <x:v>VERIFIED_FULL_DOCUMENT_LOCATION</x:v>
      </x:c>
      <x:c r="O82" s="7" t="str"/>
      <x:c r="P82" s="11" t="str"/>
      <x:c r="Q82" s="7" t="str"/>
      <x:c r="R82" s="7" t="str"/>
      <x:c r="S82" s="7" t="str"/>
      <x:c r="T82" s="7" t="str"/>
      <x:c r="U82" s="7" t="str"/>
      <x:c r="V82" s="7" t="str">
        <x:v>PRODUCTION_CORE_INCLUDE</x:v>
      </x:c>
      <x:c r="W82" s="7" t="str">
        <x:v>PROD-07637</x:v>
      </x:c>
    </x:row>
    <x:row r="83" ht="42" customHeight="1">
      <x:c r="A83" s="10" t="str">
        <x:v>A</x:v>
      </x:c>
      <x:c r="B83" s="7" t="str">
        <x:v>CWC-337F7197A678</x:v>
      </x:c>
      <x:c r="C83" s="7" t="str">
        <x:v>Identifying Priorities for the Protection of Deep-Sea Species and Habitats in the Nordic Seas</x:v>
      </x:c>
      <x:c r="D83" s="7" t="str">
        <x:v>Erwann Legrand | Marion Boulard | Joe O'Connor | Tina Kutti</x:v>
      </x:c>
      <x:c r="E83" s="11" t="str">
        <x:v>2024</x:v>
      </x:c>
      <x:c r="F83" s="7" t="str">
        <x:v>Rapport fra havforskningen 2024-5; Institute of Marine Research</x:v>
      </x:c>
      <x:c r="G83" s="7" t="str">
        <x:v>report</x:v>
      </x:c>
      <x:c r="H83" s="7" t="str"/>
      <x:c r="I83" s="7" t="str">
        <x:v>https://www.hi.no/hi/nettrapporter/rapport-fra-havforskningen-en-2024-5</x:v>
      </x:c>
      <x:c r="J83" s="7" t="str">
        <x:v>particles tend to settle within a few hundred meters from the wellhead, usually resulting in spatially restricted impacts on benthic communities33. Low concentrations of the drill mud may disperse several kilometers away from the wellhead31. Recent studies demonstrated that impacts of suspended sediment plumes on long-lived structure-forming corals may be severe39. Furthermore, studies have shown much longer recovery times of deep-water benthic communities after being impacted from settling [...] from settling drilling mud as compared to more shallow water benthic communities34. The 2010 Deepw</x:v>
      </x:c>
      <x:c r="K83" s="11" t="str">
        <x:v>YES</x:v>
      </x:c>
      <x:c r="L83" s="7" t="str">
        <x:v>FROZEN_PUBLIC_FULL_TEXT_LOCATION</x:v>
      </x:c>
      <x:c r="M83" s="7" t="str">
        <x:v>https://www.hi.no/hi/nettrapporter/rapport-fra-havforskningen-en-2024-5</x:v>
      </x:c>
      <x:c r="N83" s="7" t="str">
        <x:v>VERIFIED_BIBLIOGRAPHIC_DOCUMENT</x:v>
      </x:c>
      <x:c r="O83" s="7" t="str"/>
      <x:c r="P83" s="11" t="str"/>
      <x:c r="Q83" s="7" t="str"/>
      <x:c r="R83" s="7" t="str"/>
      <x:c r="S83" s="7" t="str"/>
      <x:c r="T83" s="7" t="str"/>
      <x:c r="U83" s="7" t="str"/>
      <x:c r="V83" s="7" t="str">
        <x:v>PRODUCTION_CORE_INCLUDE</x:v>
      </x:c>
      <x:c r="W83" s="7" t="str">
        <x:v>PROD-07717</x:v>
      </x:c>
    </x:row>
    <x:row r="84" ht="42" customHeight="1">
      <x:c r="A84" s="10" t="str">
        <x:v>A</x:v>
      </x:c>
      <x:c r="B84" s="7" t="str">
        <x:v>CWC-1FF605EE02AB</x:v>
      </x:c>
      <x:c r="C84" s="7" t="str">
        <x:v>IMR-PINRO Report No. 2-2016: Report on the Barents Sea Ecosystem, Part II—Complete Report</x:v>
      </x:c>
      <x:c r="D84" s="7" t="str">
        <x:v>Institute of Marine Research | PINRO</x:v>
      </x:c>
      <x:c r="E84" s="11" t="str">
        <x:v>2016</x:v>
      </x:c>
      <x:c r="F84" s="7" t="str">
        <x:v>IMR-PINRO Joint Report Series 2-2016</x:v>
      </x:c>
      <x:c r="G84" s="7" t="str">
        <x:v>monitoring_report</x:v>
      </x:c>
      <x:c r="H84" s="7" t="str"/>
      <x:c r="I84" s="7" t="str">
        <x:v>https://www.hi.no/resources/publikasjoner/imrpinro/2016/imr-pinro_barents_sea_ecosystem_full_report_2016.pdf</x:v>
      </x:c>
      <x:c r="J84" s="7" t="str">
        <x:v>and other human activities such as oil and gas exploration. Because corals and sponges grow very slowly, recovery of these habitats may require from decades to centuries to recover, and in some cases may not recover at all (Fosså et al., 2002; Fosså and Kutti, 2010). As such, they are examples of Vulnerable Marine Ecosystems (VMEs). Impact or damage may lower the local biodiversity and diminish the possibility for many species to find shelter and feeding grounds (Buhl-Mortensen, 2006). The most [...] continental shelf. 69 Discharge of cuttings will lead to a certain degree of smothering of the</x:v>
      </x:c>
      <x:c r="K84" s="11" t="str">
        <x:v>YES</x:v>
      </x:c>
      <x:c r="L84" s="7" t="str">
        <x:v>FROZEN_PUBLIC_FULL_TEXT_LOCATION</x:v>
      </x:c>
      <x:c r="M84" s="7" t="str">
        <x:v>https://www.hi.no/resources/publikasjoner/imrpinro/2016/imr-pinro_barents_sea_ecosystem_full_report_2016.pdf</x:v>
      </x:c>
      <x:c r="N84" s="7" t="str">
        <x:v>VERIFIED_FULL_DOCUMENT_LOCATION</x:v>
      </x:c>
      <x:c r="O84" s="7" t="str"/>
      <x:c r="P84" s="11" t="str"/>
      <x:c r="Q84" s="7" t="str"/>
      <x:c r="R84" s="7" t="str"/>
      <x:c r="S84" s="7" t="str"/>
      <x:c r="T84" s="7" t="str"/>
      <x:c r="U84" s="7" t="str"/>
      <x:c r="V84" s="7" t="str">
        <x:v>PRODUCTION_CORE_INCLUDE</x:v>
      </x:c>
      <x:c r="W84" s="7" t="str">
        <x:v>PROD-07727</x:v>
      </x:c>
    </x:row>
    <x:row r="85" ht="42" customHeight="1">
      <x:c r="A85" s="10" t="str">
        <x:v>A</x:v>
      </x:c>
      <x:c r="B85" s="7" t="str">
        <x:v>CWC-FF5955A82855</x:v>
      </x:c>
      <x:c r="C85" s="7" t="str">
        <x:v>EL 1167 (Gale N-66) Conditions Closure Report</x:v>
      </x:c>
      <x:c r="D85" s="7" t="str">
        <x:v>ExxonMobil Canada Ltd.</x:v>
      </x:c>
      <x:c r="E85" s="11" t="str">
        <x:v>2023</x:v>
      </x:c>
      <x:c r="F85" s="7" t="str">
        <x:v>ExxonMobil Canada Ltd.</x:v>
      </x:c>
      <x:c r="G85" s="7" t="str">
        <x:v>monitoring_report</x:v>
      </x:c>
      <x:c r="H85" s="7" t="str"/>
      <x:c r="I85" s="7" t="str">
        <x:v>https://exploration.exxonmobilcanada.ca/s/EL-1167-Gale-N-66-Closure-Report-2023.pdf</x:v>
      </x:c>
      <x:c r="J85" s="7" t="str">
        <x:v>from the 2023 post-drilling survey report concluded that effects from drilling activities within the 500 m x 500 m survey grid were within the EIS predictions. Coral and sponge abundances and densities were similar to pre-drilling levels. While coral and sponge condition differed from pre-drilling levels, this was largely due to the presence of basket stars on individuals (corals) and sedimentation present (sponge), both surveys categorizing these individuals as Poor rather than Good. it is [...] sections of this report, the pre-drilling survey results were compared to in situ post-drilling su</x:v>
      </x:c>
      <x:c r="K85" s="11" t="str">
        <x:v>YES</x:v>
      </x:c>
      <x:c r="L85" s="7" t="str">
        <x:v>FROZEN_PUBLIC_FULL_TEXT_LOCATION</x:v>
      </x:c>
      <x:c r="M85" s="7" t="str">
        <x:v>https://exploration.exxonmobilcanada.ca/s/EL-1167-Gale-N-66-Closure-Report-2023.pdf</x:v>
      </x:c>
      <x:c r="N85" s="7" t="str">
        <x:v>VERIFIED_FULL_DOCUMENT_LOCATION</x:v>
      </x:c>
      <x:c r="O85" s="7" t="str"/>
      <x:c r="P85" s="11" t="str"/>
      <x:c r="Q85" s="7" t="str"/>
      <x:c r="R85" s="7" t="str"/>
      <x:c r="S85" s="7" t="str"/>
      <x:c r="T85" s="7" t="str"/>
      <x:c r="U85" s="7" t="str"/>
      <x:c r="V85" s="7" t="str">
        <x:v>PRODUCTION_CORE_INCLUDE</x:v>
      </x:c>
      <x:c r="W85" s="7" t="str">
        <x:v>PROD-07833</x:v>
      </x:c>
    </x:row>
    <x:row r="86" ht="42" customHeight="1">
      <x:c r="A86" s="10" t="str">
        <x:v>A</x:v>
      </x:c>
      <x:c r="B86" s="7" t="str">
        <x:v>CWC-162E32070130</x:v>
      </x:c>
      <x:c r="C86" s="7" t="str">
        <x:v>Deep-Sea Sponge Aggregations: Fisheries Management Guidance</x:v>
      </x:c>
      <x:c r="D86" s="7" t="str">
        <x:v>Joint Nature Conservation Committee | Scottish Natural Heritage</x:v>
      </x:c>
      <x:c r="E86" s="11" t="str">
        <x:v>2013</x:v>
      </x:c>
      <x:c r="F86" s="7" t="str">
        <x:v>JNCC and SNH Fisheries Management Guidance</x:v>
      </x:c>
      <x:c r="G86" s="7" t="str">
        <x:v>regulator_assessment</x:v>
      </x:c>
      <x:c r="H86" s="7" t="str"/>
      <x:c r="I86" s="7" t="str">
        <x:v>https://data.jncc.gov.uk/data/2d7638f7-cdd5-4153-8abb-9d33c5e02bf8/SMPA-fish-man-guidance-deep-sea-sponge-aggs-July2013.pdf</x:v>
      </x:c>
      <x:c r="J86" s="7" t="str">
        <x:v>(Hexactinellida) and the giant sponges (Desmospongia)1,2. They are thought to support diverse biological communities3, with the sponges increasing habitat complexity and influencing the occurrence of other species3. Impacts Demersal towed gears (including otter trawl, beam trawl) Trawling damages, displaces and removes sponges through direct physical impact, as well as from disturbed sediment resettling and causing smothering beyond the path of the trawl itself2,3,4. Deep-sea sponges have some [...] gathering and discussion with stakeholders will be required to determine the appropriate manage</x:v>
      </x:c>
      <x:c r="K86" s="11" t="str">
        <x:v>YES</x:v>
      </x:c>
      <x:c r="L86" s="7" t="str">
        <x:v>FROZEN_PUBLIC_FULL_TEXT_LOCATION</x:v>
      </x:c>
      <x:c r="M86" s="7" t="str">
        <x:v>https://data.jncc.gov.uk/data/2d7638f7-cdd5-4153-8abb-9d33c5e02bf8/SMPA-fish-man-guidance-deep-sea-sponge-aggs-July2013.pdf</x:v>
      </x:c>
      <x:c r="N86" s="7" t="str">
        <x:v>VERIFIED_FULL_DOCUMENT_LOCATION</x:v>
      </x:c>
      <x:c r="O86" s="7" t="str"/>
      <x:c r="P86" s="11" t="str"/>
      <x:c r="Q86" s="7" t="str"/>
      <x:c r="R86" s="7" t="str"/>
      <x:c r="S86" s="7" t="str"/>
      <x:c r="T86" s="7" t="str"/>
      <x:c r="U86" s="7" t="str"/>
      <x:c r="V86" s="7" t="str">
        <x:v>PRODUCTION_CORE_INCLUDE</x:v>
      </x:c>
      <x:c r="W86" s="7" t="str">
        <x:v>PROD-07904</x:v>
      </x:c>
    </x:row>
    <x:row r="87" ht="42" customHeight="1">
      <x:c r="A87" s="10" t="str">
        <x:v>A</x:v>
      </x:c>
      <x:c r="B87" s="7" t="str">
        <x:v>CWC-1773E7123B8A</x:v>
      </x:c>
      <x:c r="C87" s="7" t="str">
        <x:v>A Blueprint for Integrating Scientific Approaches and International Communities to Assess Basin-Wide Ocean Ecosystem Status</x:v>
      </x:c>
      <x:c r="D87" s="7" t="str">
        <x:v>J. Murray Roberts | Colin W. Devey | Arne Biastoch | Marina Carreiro-Silva | Tina Dohna | Boris Dorschel | Vikki Gunn | Veerle A. I. Huvenne | David Johnson | Didier Jollivet | Ellen Kenchington | Kate Larkin | Marjolaine Matabos | Telmo Morato | Malik S. Naumann | Covadonga Orejas | J. Angel A. Perez | Stefán Á. Ragnarsson | Albertus J. Smit | Andrew Sweetman | Sebastian Unger | Benjamin Boteler | Lea-Anne Henry</x:v>
      </x:c>
      <x:c r="E87" s="11" t="str">
        <x:v>2023</x:v>
      </x:c>
      <x:c r="F87" s="7" t="str">
        <x:v>Communications Earth &amp; Environment</x:v>
      </x:c>
      <x:c r="G87" s="7" t="str">
        <x:v>article</x:v>
      </x:c>
      <x:c r="H87" s="7" t="str">
        <x:v>10.1038/s43247-022-00645-w</x:v>
      </x:c>
      <x:c r="I87" s="7" t="str">
        <x:v>https://doi.org/10.1038/s43247-022-00645-w</x:v>
      </x:c>
      <x:c r="J87" s="7" t="str">
        <x:v>and cover up to 150 km2, reaching many areas that support VMEs and ﬁshing activities66. Studies to examine the impacts on cold-water corals, sponges, vent mussels and their pelagic larvae need to expand and build upon early results that show how exposure to mining waste has severe toxic effects leading to signiﬁcant mortality in deep-sea habitat-forming octocorals64. For such experi-ments, it is essential to share expertise in maintaining these organisms and their larvae in research aquaria. [...] 64. Carreiro-Silva, M. et al. Mechanical and toxicological effects of deep-sea mining sediment pl</x:v>
      </x:c>
      <x:c r="K87" s="11" t="str">
        <x:v>YES</x:v>
      </x:c>
      <x:c r="L87" s="7" t="str">
        <x:v>FROZEN_PUBLIC_FULL_TEXT_LOCATION</x:v>
      </x:c>
      <x:c r="M87" s="7" t="str">
        <x:v>https://nora.nerc.ac.uk/id/eprint/533969/1/s43247-022-00645-w.pdf</x:v>
      </x:c>
      <x:c r="N87" s="7" t="str">
        <x:v>VERIFIED_BIBLIOGRAPHIC_DOCUMENT</x:v>
      </x:c>
      <x:c r="O87" s="7" t="str"/>
      <x:c r="P87" s="11" t="str"/>
      <x:c r="Q87" s="7" t="str"/>
      <x:c r="R87" s="7" t="str"/>
      <x:c r="S87" s="7" t="str"/>
      <x:c r="T87" s="7" t="str"/>
      <x:c r="U87" s="7" t="str"/>
      <x:c r="V87" s="7" t="str">
        <x:v>PRODUCTION_CORE_INCLUDE</x:v>
      </x:c>
      <x:c r="W87" s="7" t="str">
        <x:v>PROD-07930</x:v>
      </x:c>
    </x:row>
    <x:row r="88" ht="42" customHeight="1">
      <x:c r="A88" s="10" t="str">
        <x:v>A</x:v>
      </x:c>
      <x:c r="B88" s="7" t="str">
        <x:v>CWC-104B2C5A7924</x:v>
      </x:c>
      <x:c r="C88" s="7" t="str">
        <x:v>Sediment impacts on marine sponges</x:v>
      </x:c>
      <x:c r="D88" s="7" t="str">
        <x:v>James J. Bell | Emily McGrath | Andrew Biggerstaff | Tracey Bates | Holly Bennett | Joseph Marlow | Megan Shaffer</x:v>
      </x:c>
      <x:c r="E88" s="11" t="str">
        <x:v>2015</x:v>
      </x:c>
      <x:c r="F88" s="7" t="str">
        <x:v>Marine Pollution Bulletin</x:v>
      </x:c>
      <x:c r="G88" s="7" t="str">
        <x:v>article</x:v>
      </x:c>
      <x:c r="H88" s="7" t="str">
        <x:v>10.1016/j.marpolbul.2015.03.030</x:v>
      </x:c>
      <x:c r="I88" s="7" t="str">
        <x:v>https://doi.org/10.1016/j.marpolbul.2015.03.030</x:v>
      </x:c>
      <x:c r="J88" s="7" t="str"/>
      <x:c r="K88" s="11" t="str">
        <x:v>NO</x:v>
      </x:c>
      <x:c r="L88" s="7" t="str">
        <x:v>NOT_CONFIRMED</x:v>
      </x:c>
      <x:c r="M88" s="7" t="str"/>
      <x:c r="N88" s="7" t="str">
        <x:v>VERIFIED_BIBLIOGRAPHIC_DOCUMENT</x:v>
      </x:c>
      <x:c r="O88" s="7" t="str"/>
      <x:c r="P88" s="11" t="str"/>
      <x:c r="Q88" s="7" t="str"/>
      <x:c r="R88" s="7" t="str"/>
      <x:c r="S88" s="7" t="str"/>
      <x:c r="T88" s="7" t="str"/>
      <x:c r="U88" s="7" t="str"/>
      <x:c r="V88" s="7" t="str">
        <x:v>SEEDED_POSITIVE_CORE_BENCHMARK</x:v>
      </x:c>
      <x:c r="W88" s="7" t="str">
        <x:v>BV-008</x:v>
      </x:c>
    </x:row>
    <x:row r="89" ht="42" customHeight="1">
      <x:c r="A89" s="10" t="str">
        <x:v>A</x:v>
      </x:c>
      <x:c r="B89" s="7" t="str">
        <x:v>CWC-F2591A201364</x:v>
      </x:c>
      <x:c r="C89" s="7" t="str">
        <x:v>Sub-lethal effects of water-based drilling muds on the deep-water sponge Geodia barretti</x:v>
      </x:c>
      <x:c r="D89" s="7" t="str">
        <x:v>Katelyn J. Edge | Emma L. Johnston | Katherine A. Dafforn | Stuart L. Simpson | Tina Kutti | Raymond J. Bannister</x:v>
      </x:c>
      <x:c r="E89" s="11" t="str">
        <x:v>2016</x:v>
      </x:c>
      <x:c r="F89" s="7" t="str">
        <x:v>Environmental Pollution</x:v>
      </x:c>
      <x:c r="G89" s="7" t="str">
        <x:v>article</x:v>
      </x:c>
      <x:c r="H89" s="7" t="str">
        <x:v>10.1016/j.envpol.2016.02.047</x:v>
      </x:c>
      <x:c r="I89" s="7" t="str">
        <x:v>https://doi.org/10.1016/j.envpol.2016.02.047</x:v>
      </x:c>
      <x:c r="J89" s="7" t="str"/>
      <x:c r="K89" s="11" t="str">
        <x:v>NO</x:v>
      </x:c>
      <x:c r="L89" s="7" t="str">
        <x:v>NOT_CONFIRMED</x:v>
      </x:c>
      <x:c r="M89" s="7" t="str"/>
      <x:c r="N89" s="7" t="str">
        <x:v>VERIFIED_BIBLIOGRAPHIC_DOCUMENT</x:v>
      </x:c>
      <x:c r="O89" s="7" t="str"/>
      <x:c r="P89" s="11" t="str"/>
      <x:c r="Q89" s="7" t="str"/>
      <x:c r="R89" s="7" t="str"/>
      <x:c r="S89" s="7" t="str"/>
      <x:c r="T89" s="7" t="str"/>
      <x:c r="U89" s="7" t="str"/>
      <x:c r="V89" s="7" t="str">
        <x:v>HUMAN_ACCEPTED_POSITIVE_ENRICHED_CORE</x:v>
      </x:c>
      <x:c r="W89" s="7" t="str">
        <x:v>PEV-025</x:v>
      </x:c>
    </x:row>
    <x:row r="90" ht="42" customHeight="1">
      <x:c r="A90" s="10" t="str">
        <x:v>A</x:v>
      </x:c>
      <x:c r="B90" s="7" t="str">
        <x:v>CWC-6504F386F1B3</x:v>
      </x:c>
      <x:c r="C90" s="7" t="str">
        <x:v>Impact of the Deepwater Horizon oil spill on a deep-water coral community in the Gulf of Mexico</x:v>
      </x:c>
      <x:c r="D90" s="7" t="str">
        <x:v>Helen K. White | Pen‐Yuan Hsing | Walter Cho | Timothy M. Shank | Erik E. Cordes | Andrea M. Quattrini | Robert K. Nelson | Richard Camilli | Amanda W.J. Demopoulos | Christopher R. German | James M. Brooks | Harry H. Roberts | William Shedd | Christopher M. Reddy | Charles R. Fisher</x:v>
      </x:c>
      <x:c r="E90" s="11" t="str">
        <x:v>2012</x:v>
      </x:c>
      <x:c r="F90" s="7" t="str">
        <x:v>Proceedings of the National Academy of Sciences</x:v>
      </x:c>
      <x:c r="G90" s="7" t="str">
        <x:v>article</x:v>
      </x:c>
      <x:c r="H90" s="7" t="str">
        <x:v>10.1073/pnas.1118029109</x:v>
      </x:c>
      <x:c r="I90" s="7" t="str">
        <x:v>https://doi.org/10.1073/pnas.1118029109</x:v>
      </x:c>
      <x:c r="J90" s="7" t="str">
        <x:v>To assess the potential impact of the Deepwater Horizon oil spill on offshore ecosystems, 11 sites hosting deep-water coral communities were examined 3 to 4 mo after the well was capped. Healthy coral communities were observed at all sites &gt;20 km from the Macondo well, including seven sites previously visited in September 2009, where the corals and communities appeared unchanged. However, at one site 11 km southwest of the Macondo well, coral colonies presented widespread signs of stress, including varying degrees of tissue loss, sclerite enlargement, excess mucous production, bleached commensal ophiuroids, and covering by brown flocculent material (floc). On the basis of these criteria the level of impact to individual colonies was ranked from 0 (least impact) to 4 (greatest impact). Of the 43 corals imaged at that site, 46% exhibited evidence of impact on more than half of the colony, whereas nearly a quarter of all of the corals showed impact to &gt;90% of the colony. Additionally, 53% of these corals' ophiuroid associates displayed abnormal color and/or attachment posture. Analysis of hopanoid petroleum biomarkers isolated from the floc provides strong evidence that this material contained oil from the Macondo well. The presence of recently damaged and deceased corals beneath the path of a previously documented plume emanating from the Macondo well provides compelling evidence that the oil impacted deep-water ecosystems. Our findings underscore the unprecedented nature of the spill in terms of its magnitude, release at depth, and impact to deep-water ecosystems.</x:v>
      </x:c>
      <x:c r="K90" s="11" t="str">
        <x:v>NO</x:v>
      </x:c>
      <x:c r="L90" s="7" t="str">
        <x:v>NOT_CONFIRMED</x:v>
      </x:c>
      <x:c r="M90" s="7" t="str"/>
      <x:c r="N90" s="7" t="str">
        <x:v>VERIFIED_BIBLIOGRAPHIC_DOCUMENT</x:v>
      </x:c>
      <x:c r="O90" s="7" t="str"/>
      <x:c r="P90" s="11" t="str"/>
      <x:c r="Q90" s="7" t="str"/>
      <x:c r="R90" s="7" t="str"/>
      <x:c r="S90" s="7" t="str"/>
      <x:c r="T90" s="7" t="str"/>
      <x:c r="U90" s="7" t="str"/>
      <x:c r="V90" s="7" t="str">
        <x:v>HUMAN_ACCEPTED_POSITIVE_ENRICHED_CORE</x:v>
      </x:c>
      <x:c r="W90" s="7" t="str">
        <x:v>PEV-026</x:v>
      </x:c>
    </x:row>
    <x:row r="91" ht="42" customHeight="1">
      <x:c r="A91" s="10" t="str">
        <x:v>A</x:v>
      </x:c>
      <x:c r="B91" s="7" t="str">
        <x:v>CWC-D962354BD236</x:v>
      </x:c>
      <x:c r="C91" s="7" t="str">
        <x:v>Impact of particulate sediment, bentonite and barite (oil-drilling waste) on net fluxes of oxygen and nitrogen in Arctic-boreal sponges</x:v>
      </x:c>
      <x:c r="D91" s="7" t="str">
        <x:v>James Kar‐Hei Fang | Christine Rooks | Cathinka M. Krogness | Tina Kutti | Friederike Hoffmann | Raymond J. Bannister</x:v>
      </x:c>
      <x:c r="E91" s="11" t="str">
        <x:v>2018</x:v>
      </x:c>
      <x:c r="F91" s="7" t="str">
        <x:v>Environmental Pollution</x:v>
      </x:c>
      <x:c r="G91" s="7" t="str">
        <x:v>article</x:v>
      </x:c>
      <x:c r="H91" s="7" t="str">
        <x:v>10.1016/j.envpol.2017.11.092</x:v>
      </x:c>
      <x:c r="I91" s="7" t="str">
        <x:v>https://doi.org/10.1016/j.envpol.2017.11.092</x:v>
      </x:c>
      <x:c r="J91" s="7" t="str"/>
      <x:c r="K91" s="11" t="str">
        <x:v>NO</x:v>
      </x:c>
      <x:c r="L91" s="7" t="str">
        <x:v>NOT_CONFIRMED</x:v>
      </x:c>
      <x:c r="M91" s="7" t="str"/>
      <x:c r="N91" s="7" t="str">
        <x:v>VERIFIED_BIBLIOGRAPHIC_DOCUMENT</x:v>
      </x:c>
      <x:c r="O91" s="7" t="str"/>
      <x:c r="P91" s="11" t="str"/>
      <x:c r="Q91" s="7" t="str"/>
      <x:c r="R91" s="7" t="str"/>
      <x:c r="S91" s="7" t="str"/>
      <x:c r="T91" s="7" t="str"/>
      <x:c r="U91" s="7" t="str"/>
      <x:c r="V91" s="7" t="str">
        <x:v>HUMAN_ACCEPTED_POSITIVE_ENRICHED_CORE</x:v>
      </x:c>
      <x:c r="W91" s="7" t="str">
        <x:v>PEV-034</x:v>
      </x:c>
    </x:row>
    <x:row r="92" ht="42" customHeight="1">
      <x:c r="A92" s="10" t="str">
        <x:v>A</x:v>
      </x:c>
      <x:c r="B92" s="7" t="str">
        <x:v>CWC-31EC2BA27AD5</x:v>
      </x:c>
      <x:c r="C92" s="7" t="str">
        <x:v>The potential impacts of exploratory drilling and aquaculture wastes on cold-water cnidarians with a focus on cold-water corals</x:v>
      </x:c>
      <x:c r="D92" s="7" t="str">
        <x:v>Kathryn Murray</x:v>
      </x:c>
      <x:c r="E92" s="11" t="str">
        <x:v>2024</x:v>
      </x:c>
      <x:c r="F92" s="7" t="str">
        <x:v>Memorial University of Newfoundland</x:v>
      </x:c>
      <x:c r="G92" s="7" t="str">
        <x:v>doctoral thesis</x:v>
      </x:c>
      <x:c r="H92" s="7" t="str">
        <x:v>10.48336/529w-2g70</x:v>
      </x:c>
      <x:c r="I92" s="7" t="str">
        <x:v>https://doi.org/10.48336/529w-2g70</x:v>
      </x:c>
      <x:c r="J92" s="7" t="str">
        <x:v>Experiments tested finfish waste on Gersemia rubiformis and Aulactinia stella and barite/bentonite drilling mud on the deep-sea cup coral Flabellum (Ulocyathus) alabastrum. Reported responses included polyp expansion, mucus secretion, cnidocyte density, and recovery after sedimentation below 6.3 mm.</x:v>
      </x:c>
      <x:c r="K92" s="11" t="str">
        <x:v>YES</x:v>
      </x:c>
      <x:c r="L92" s="7" t="str">
        <x:v>AUTHORITATIVE_REPOSITORY_LANDING_PAGE</x:v>
      </x:c>
      <x:c r="M92" s="7" t="str">
        <x:v>https://research.library.mun.ca/16655/</x:v>
      </x:c>
      <x:c r="N92" s="7" t="str">
        <x:v>VERIFIED_BIBLIOGRAPHIC_DOCUMENT</x:v>
      </x:c>
      <x:c r="O92" s="7" t="str"/>
      <x:c r="P92" s="11" t="str"/>
      <x:c r="Q92" s="7" t="str"/>
      <x:c r="R92" s="7" t="str"/>
      <x:c r="S92" s="7" t="str"/>
      <x:c r="T92" s="7" t="str"/>
      <x:c r="U92" s="7" t="str"/>
      <x:c r="V92" s="7" t="str">
        <x:v>SUPPLEMENTAL_V3_CORE_INCLUDE</x:v>
      </x:c>
      <x:c r="W92" s="7" t="str">
        <x:v>SSV3-001</x:v>
      </x:c>
    </x:row>
    <x:row r="93" ht="42" customHeight="1">
      <x:c r="A93" s="10" t="str">
        <x:v>A</x:v>
      </x:c>
      <x:c r="B93" s="7" t="str">
        <x:v>CWC-5BDFECB9B224</x:v>
      </x:c>
      <x:c r="C93" s="7" t="str">
        <x:v>Asphyxiation by sedimentation? - a sponge's perspective</x:v>
      </x:c>
      <x:c r="D93" s="7" t="str">
        <x:v>Hannah Samantha Schuster</x:v>
      </x:c>
      <x:c r="E93" s="11" t="str">
        <x:v>2013</x:v>
      </x:c>
      <x:c r="F93" s="7" t="str">
        <x:v>University of Southampton, Ocean and Earth Science</x:v>
      </x:c>
      <x:c r="G93" s="7" t="str">
        <x:v>doctoral thesis</x:v>
      </x:c>
      <x:c r="H93" s="7" t="str"/>
      <x:c r="I93" s="7" t="str">
        <x:v>https://eprints.soton.ac.uk/377300/</x:v>
      </x:c>
      <x:c r="J93" s="7" t="str">
        <x:v>The thesis tested natural and anthropogenic sediment exposure in three sponges, including the deep-water species Phakellia ventilabrum. Drill-cutting exposure was tested in P. ventilabrum and Sycon ciliatum; respiration and transcriptional stress responses were measured, with species-specific regulation reported.</x:v>
      </x:c>
      <x:c r="K93" s="11" t="str">
        <x:v>YES</x:v>
      </x:c>
      <x:c r="L93" s="7" t="str">
        <x:v>AUTHORITATIVE_REPOSITORY_FULL_TEXT</x:v>
      </x:c>
      <x:c r="M93" s="7" t="str">
        <x:v>https://eprints.soton.ac.uk/377300/</x:v>
      </x:c>
      <x:c r="N93" s="7" t="str">
        <x:v>VERIFIED_FULL_DOCUMENT_LOCATION</x:v>
      </x:c>
      <x:c r="O93" s="7" t="str"/>
      <x:c r="P93" s="11" t="str"/>
      <x:c r="Q93" s="7" t="str"/>
      <x:c r="R93" s="7" t="str"/>
      <x:c r="S93" s="7" t="str"/>
      <x:c r="T93" s="7" t="str"/>
      <x:c r="U93" s="7" t="str"/>
      <x:c r="V93" s="7" t="str">
        <x:v>SUPPLEMENTAL_V3_CORE_INCLUDE</x:v>
      </x:c>
      <x:c r="W93" s="7" t="str">
        <x:v>SSV3-002</x:v>
      </x:c>
    </x:row>
    <x:row r="94" ht="42" customHeight="1">
      <x:c r="A94" s="10" t="str">
        <x:v>A</x:v>
      </x:c>
      <x:c r="B94" s="7" t="str">
        <x:v>CWC-7ECCBE646349</x:v>
      </x:c>
      <x:c r="C94" s="7" t="str">
        <x:v>Identification and Evaluation of Biological Effects and Impacts of Sediment to Sponge Communities in Hecate Strait</x:v>
      </x:c>
      <x:c r="D94" s="7" t="str">
        <x:v>Fisheries and Oceans Canada</x:v>
      </x:c>
      <x:c r="E94" s="11" t="str">
        <x:v>2013</x:v>
      </x:c>
      <x:c r="F94" s="7" t="str">
        <x:v>Canadian Science Advisory Secretariat, Science Advisory Report 2013/062</x:v>
      </x:c>
      <x:c r="G94" s="7" t="str">
        <x:v>science advisory report</x:v>
      </x:c>
      <x:c r="H94" s="7" t="str"/>
      <x:c r="I94" s="7" t="str">
        <x:v>https://www.dfo-mpo.gc.ca/csas-sccs/Publications/SAR-AS/2013/2013_062-eng.html</x:v>
      </x:c>
      <x:c r="J94" s="7" t="str">
        <x:v>The report assesses sediment effects on Hecate Strait glass sponge communities. It describes pumping arrest during suspended-sediment exposure, clogging after prolonged exposure, reduced water processing and nutrient uptake, and risks from sediment resuspension by fishing activities.</x:v>
      </x:c>
      <x:c r="K94" s="11" t="str">
        <x:v>YES</x:v>
      </x:c>
      <x:c r="L94" s="7" t="str">
        <x:v>AUTHORITATIVE_FULL_DOCUMENT</x:v>
      </x:c>
      <x:c r="M94" s="7" t="str">
        <x:v>https://www.dfo-mpo.gc.ca/csas-sccs/Publications/SAR-AS/2013/2013_062-eng.html</x:v>
      </x:c>
      <x:c r="N94" s="7" t="str">
        <x:v>VERIFIED_FULL_DOCUMENT_LOCATION</x:v>
      </x:c>
      <x:c r="O94" s="7" t="str"/>
      <x:c r="P94" s="11" t="str"/>
      <x:c r="Q94" s="7" t="str"/>
      <x:c r="R94" s="7" t="str"/>
      <x:c r="S94" s="7" t="str"/>
      <x:c r="T94" s="7" t="str"/>
      <x:c r="U94" s="7" t="str"/>
      <x:c r="V94" s="7" t="str">
        <x:v>SUPPLEMENTAL_V3_CORE_INCLUDE</x:v>
      </x:c>
      <x:c r="W94" s="7" t="str">
        <x:v>SSV3-003</x:v>
      </x:c>
    </x:row>
    <x:row r="95" ht="42" customHeight="1">
      <x:c r="A95" s="10" t="str">
        <x:v>A</x:v>
      </x:c>
      <x:c r="B95" s="7" t="str">
        <x:v>CWC-21DAFD239A8B</x:v>
      </x:c>
      <x:c r="C95" s="7" t="str">
        <x:v>Coral and Sponge Mitigations in Relation to Exploratory Drilling Programs in the Newfoundland and Labrador Region</x:v>
      </x:c>
      <x:c r="D95" s="7" t="str">
        <x:v>Fisheries and Oceans Canada</x:v>
      </x:c>
      <x:c r="E95" s="11" t="str">
        <x:v>2021</x:v>
      </x:c>
      <x:c r="F95" s="7" t="str">
        <x:v>Canadian Science Advisory Secretariat, Science Advisory Report 2021/028</x:v>
      </x:c>
      <x:c r="G95" s="7" t="str">
        <x:v>science advisory report</x:v>
      </x:c>
      <x:c r="H95" s="7" t="str"/>
      <x:c r="I95" s="7" t="str">
        <x:v>https://www.dfo-mpo.gc.ca/csas-sccs/Publications/SAR-AS/2021/2021_028-eng.html</x:v>
      </x:c>
      <x:c r="J95" s="7" t="str">
        <x:v>Peer-reviewed advice on avoiding and mitigating exploratory-drilling impacts to Newfoundland and Labrador corals and sponges. It applies a 1.5 mm probable no-effects sediment-deposition threshold in drilling-discharge dispersion modelling and discusses monitoring and cumulative effects.</x:v>
      </x:c>
      <x:c r="K95" s="11" t="str">
        <x:v>YES</x:v>
      </x:c>
      <x:c r="L95" s="7" t="str">
        <x:v>AUTHORITATIVE_FULL_DOCUMENT</x:v>
      </x:c>
      <x:c r="M95" s="7" t="str">
        <x:v>https://www.dfo-mpo.gc.ca/csas-sccs/Publications/SAR-AS/2021/2021_028-eng.html</x:v>
      </x:c>
      <x:c r="N95" s="7" t="str">
        <x:v>VERIFIED_FULL_DOCUMENT_LOCATION</x:v>
      </x:c>
      <x:c r="O95" s="7" t="str"/>
      <x:c r="P95" s="11" t="str"/>
      <x:c r="Q95" s="7" t="str"/>
      <x:c r="R95" s="7" t="str"/>
      <x:c r="S95" s="7" t="str"/>
      <x:c r="T95" s="7" t="str"/>
      <x:c r="U95" s="7" t="str"/>
      <x:c r="V95" s="7" t="str">
        <x:v>SUPPLEMENTAL_V3_CORE_INCLUDE</x:v>
      </x:c>
      <x:c r="W95" s="7" t="str">
        <x:v>SSV3-004</x:v>
      </x:c>
    </x:row>
    <x:row r="96" ht="42" customHeight="1">
      <x:c r="A96" s="10" t="str">
        <x:v>A</x:v>
      </x:c>
      <x:c r="B96" s="7" t="str">
        <x:v>CWC-91FA2484508E</x:v>
      </x:c>
      <x:c r="C96" s="7" t="str">
        <x:v>Considerations for the Authorization of Bottom-Contacting Scientific Surveys Within Protected Areas in the Newfoundland and Labrador Region</x:v>
      </x:c>
      <x:c r="D96" s="7" t="str">
        <x:v>R. M. Rideout | M. Warren | K. Skanes | J. Pantin | B. Neves | V. Wareham-Hayes | H. Munro | F. Cyr | C. Pretty | B. Rogers | M. Koen-Alonso</x:v>
      </x:c>
      <x:c r="E96" s="11" t="str">
        <x:v>2024</x:v>
      </x:c>
      <x:c r="F96" s="7" t="str">
        <x:v>Canadian Science Advisory Secretariat, Research Document 2024/073</x:v>
      </x:c>
      <x:c r="G96" s="7" t="str">
        <x:v>research document</x:v>
      </x:c>
      <x:c r="H96" s="7" t="str"/>
      <x:c r="I96" s="7" t="str">
        <x:v>https://www.dfo-mpo.gc.ca/csas-sccs/Publications/ResDocs-DocRech/2024/2024_073-eng.html</x:v>
      </x:c>
      <x:c r="J96" s="7" t="str">
        <x:v>The document reviews bottom-contact fishing and survey impacts on sensitive benthic taxa in protected areas. Its coral-and-sponge section discusses smothering, suspended-sediment exposure, feeding arrest thresholds in glass sponges, damage, mortality, and recovery, while the report's primary purpose is survey authorization.</x:v>
      </x:c>
      <x:c r="K96" s="11" t="str">
        <x:v>YES</x:v>
      </x:c>
      <x:c r="L96" s="7" t="str">
        <x:v>AUTHORITATIVE_FULL_DOCUMENT</x:v>
      </x:c>
      <x:c r="M96" s="7" t="str">
        <x:v>https://www.dfo-mpo.gc.ca/csas-sccs/Publications/ResDocs-DocRech/2024/2024_073-eng.html</x:v>
      </x:c>
      <x:c r="N96" s="7" t="str">
        <x:v>VERIFIED_FULL_DOCUMENT_LOCATION</x:v>
      </x:c>
      <x:c r="O96" s="7" t="str"/>
      <x:c r="P96" s="11" t="str"/>
      <x:c r="Q96" s="7" t="str"/>
      <x:c r="R96" s="7" t="str"/>
      <x:c r="S96" s="7" t="str"/>
      <x:c r="T96" s="7" t="str"/>
      <x:c r="U96" s="7" t="str"/>
      <x:c r="V96" s="7" t="str">
        <x:v>SUPPLEMENTAL_V3_CORE_INCLUDE</x:v>
      </x:c>
      <x:c r="W96" s="7" t="str">
        <x:v>SSV3-007</x:v>
      </x:c>
    </x:row>
  </x:sheetData>
  <x:conditionalFormatting sqref="K2:K96">
    <x:cfRule type="containsText" dxfId="0" priority="1" operator="containsText" text="YES"/>
  </x:conditionalFormatting>
  <x:conditionalFormatting sqref="O2:O96">
    <x:cfRule type="beginsWith" dxfId="1" priority="2" operator="beginsWith" text="B04"/>
  </x:conditionalFormatting>
  <x:pageMargins left="0.7" right="0.7" top="0.75" bottom="0.75" header="0.3" footer="0.3"/>
  <x:tableParts count="1">
    <x:tablePart xmlns:r="http://schemas.openxmlformats.org/officeDocument/2006/relationships" r:id="Rf971cfd7c3d14f3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48" hidden="0" customWidth="1"/>
    <x:col min="4" max="4" width="42" hidden="0" customWidth="1"/>
    <x:col min="5" max="5" width="9" hidden="0" customWidth="1"/>
    <x:col min="6" max="6" width="30" hidden="0" customWidth="1"/>
    <x:col min="7" max="7" width="20" hidden="0" customWidth="1"/>
    <x:col min="8" max="8" width="26" hidden="0" customWidth="1"/>
    <x:col min="9" max="9" width="38" hidden="0" customWidth="1"/>
    <x:col min="10" max="10" width="68" hidden="0" customWidth="1"/>
    <x:col min="11" max="11" width="10" hidden="0" customWidth="1"/>
    <x:col min="12" max="12" width="20" hidden="0" customWidth="1"/>
    <x:col min="13" max="13" width="38" hidden="0" customWidth="1"/>
    <x:col min="14" max="14" width="30" hidden="0" customWidth="1"/>
    <x:col min="15" max="15" width="34" hidden="0" customWidth="1"/>
    <x:col min="16" max="16" width="14" hidden="0" customWidth="1"/>
    <x:col min="17" max="17" width="48" hidden="0" customWidth="1"/>
    <x:col min="18" max="18" width="48" hidden="0" customWidth="1"/>
    <x:col min="19" max="19" width="48" hidden="0" customWidth="1"/>
    <x:col min="20" max="20" width="52" hidden="0" customWidth="1"/>
    <x:col min="21" max="21" width="58" hidden="0" customWidth="1"/>
    <x:col min="22" max="22" width="42" hidden="0" customWidth="1"/>
    <x:col min="23" max="23" width="16" hidden="0" customWidth="1"/>
  </x:cols>
  <x:sheetData>
    <x:row r="1" ht="34" customHeight="1">
      <x:c r="A1" s="6" t="str">
        <x:v>evidence_tier</x:v>
      </x:c>
      <x:c r="B1" s="6" t="str">
        <x:v>corpus_id</x:v>
      </x:c>
      <x:c r="C1" s="6" t="str">
        <x:v>title</x:v>
      </x:c>
      <x:c r="D1" s="6" t="str">
        <x:v>authors</x:v>
      </x:c>
      <x:c r="E1" s="6" t="str">
        <x:v>year</x:v>
      </x:c>
      <x:c r="F1" s="6" t="str">
        <x:v>source_title_or_issuer</x:v>
      </x:c>
      <x:c r="G1" s="6" t="str">
        <x:v>document_type</x:v>
      </x:c>
      <x:c r="H1" s="6" t="str">
        <x:v>doi</x:v>
      </x:c>
      <x:c r="I1" s="6" t="str">
        <x:v>url</x:v>
      </x:c>
      <x:c r="J1" s="6" t="str">
        <x:v>screening_text</x:v>
      </x:c>
      <x:c r="K1" s="6" t="str">
        <x:v>access</x:v>
      </x:c>
      <x:c r="L1" s="6" t="str">
        <x:v>access_type</x:v>
      </x:c>
      <x:c r="M1" s="6" t="str">
        <x:v>access_url</x:v>
      </x:c>
      <x:c r="N1" s="6" t="str">
        <x:v>document_verification_status</x:v>
      </x:c>
      <x:c r="O1" s="6" t="str">
        <x:v>tier_b_reason_code</x:v>
      </x:c>
      <x:c r="P1" s="6" t="str">
        <x:v>model_confidence</x:v>
      </x:c>
      <x:c r="Q1" s="6" t="str">
        <x:v>organism_evidence</x:v>
      </x:c>
      <x:c r="R1" s="6" t="str">
        <x:v>stressor_evidence</x:v>
      </x:c>
      <x:c r="S1" s="6" t="str">
        <x:v>response_or_assessment_evidence</x:v>
      </x:c>
      <x:c r="T1" s="6" t="str">
        <x:v>tier_b_basis</x:v>
      </x:c>
      <x:c r="U1" s="6" t="str">
        <x:v>model_rationale</x:v>
      </x:c>
      <x:c r="V1" s="6" t="str">
        <x:v>selection_basis</x:v>
      </x:c>
      <x:c r="W1" s="6" t="str">
        <x:v>source_record_id</x:v>
      </x:c>
    </x:row>
    <x:row r="2" ht="42" customHeight="1">
      <x:c r="A2" s="14" t="str">
        <x:v>B</x:v>
      </x:c>
      <x:c r="B2" s="7" t="str">
        <x:v>GLV4-E5198CAEE75A</x:v>
      </x:c>
      <x:c r="C2" s="7" t="str">
        <x:v>1 Environmental Monitoring Report Morvin 2009-2010</x:v>
      </x:c>
      <x:c r="D2" s="7" t="str"/>
      <x:c r="E2" s="11" t="str">
        <x:v>2009</x:v>
      </x:c>
      <x:c r="F2" s="7" t="str">
        <x:v>hi.no</x:v>
      </x:c>
      <x:c r="G2" s="7" t="str">
        <x:v>monitoring_report</x:v>
      </x:c>
      <x:c r="H2" s="7" t="str"/>
      <x:c r="I2" s="7" t="str">
        <x:v>https://www.hi.no/resources/publikasjoner/rapport-fra-havforskningen/andre_rapporter/morvin_environmental_monitoring_report_2_.pdf</x:v>
      </x:c>
      <x:c r="J2" s="7" t="str">
        <x:v>behavioural changes of corals being exposed to this plume. Further, samples of cold-water corals were collected to investigate differences in feeding behaviour in corals that had been exposed to drill cuttings and corals that had not. Together with more traditional monitoring as sediment push core and trap samples this would give a good overview of the environmental impact of the release of drill cuttings. Unfortunately, the outcome of the study was reduced due to a series of technical problems. The acoustic lander monitoring had to be abandoned due to the early loss of the communication buoy.</x:v>
      </x:c>
      <x:c r="K2" s="11" t="str">
        <x:v>YES</x:v>
      </x:c>
      <x:c r="L2" s="7" t="str">
        <x:v>PUBLIC_FULL_DOCUMENT_LOCATION</x:v>
      </x:c>
      <x:c r="M2" s="7" t="str">
        <x:v>https://www.hi.no/resources/publikasjoner/rapport-fra-havforskningen/andre_rapporter/morvin_environmental_monitoring_report_2_.pdf</x:v>
      </x:c>
      <x:c r="N2" s="7" t="str">
        <x:v>VERIFIED_DIRECT_DOCUMENT_URL</x:v>
      </x:c>
      <x:c r="O2" s="7" t="str">
        <x:v>B01_DEEP_COLD_SEDIMENT_EVIDENCE</x:v>
      </x:c>
      <x:c r="P2" s="11" t="str">
        <x:v>HIGH</x:v>
      </x:c>
      <x:c r="Q2" s="7" t="str">
        <x:v>Cold-water corals (specific species not stated).</x:v>
      </x:c>
      <x:c r="R2" s="7" t="str">
        <x:v>Drill cuttings, plume, sediment exposure, sediment push core and trap samples.</x:v>
      </x:c>
      <x:c r="S2" s="7" t="str">
        <x:v>Behavioural changes of corals exposed to the plume; feeding behaviour differences between exposed and unexposed corals; environmental impact monitoring.</x:v>
      </x:c>
      <x:c r="T2" s="7" t="str">
        <x:v>This is a deep-sea/cold-water monitoring report explicitly investigating drill-cuttings impacts on cold-water corals, with direct biological response evidence (behavioural and feeding changes) and supplementary sediment monitoring.</x:v>
      </x:c>
      <x:c r="U2" s="7" t="str">
        <x:v>The record is a substantive monitoring report from the Norwegian Institute of Marine Research (hi.no) on the Morvin field. It directly addresses cold-water coral exposure to a drill-cuttings plume, including behavioural changes and feeding behaviour comparisons, plus traditional sediment monitoring. This meets Tier B criterion B01 for deep/cold coral sediment evidence. The closest alternative would be B02 (review/assessment) or CHAIN_ONLY, but the report contains direct organism-level response data, so B01 is more specific. Technical problems reduced the study outcome but do not negate the evidence. Access is public, but eligibility is unaffected.</x:v>
      </x:c>
      <x:c r="V2" s="7" t="str">
        <x:v>ALL_VERIFIED_NON_TROPICAL_TIER_B_INCLUSIONS</x:v>
      </x:c>
      <x:c r="W2" s="7" t="str">
        <x:v>TBV1-0425</x:v>
      </x:c>
    </x:row>
    <x:row r="3" ht="42" customHeight="1">
      <x:c r="A3" s="14" t="str">
        <x:v>B</x:v>
      </x:c>
      <x:c r="B3" s="7" t="str">
        <x:v>GLV4-2BD81E337C82</x:v>
      </x:c>
      <x:c r="C3" s="7" t="str">
        <x:v>2. Our coasts and estuaries are affected by a changing ocean | Ministry for the Environment</x:v>
      </x:c>
      <x:c r="D3" s="7" t="str"/>
      <x:c r="E3" s="11" t="str">
        <x:v>2025</x:v>
      </x:c>
      <x:c r="F3" s="7" t="str">
        <x:v>environment.govt.nz</x:v>
      </x:c>
      <x:c r="G3" s="7" t="str">
        <x:v>report</x:v>
      </x:c>
      <x:c r="H3" s="7" t="str"/>
      <x:c r="I3" s="7" t="str">
        <x:v>https://environment.govt.nz/publications/our-marine-environment-2025/our-coasts-and-estuaries-are-affected-by-a-changing-ocean</x:v>
      </x:c>
      <x:c r="J3" s="7" t="str">
        <x:v>Cyclone Gabrielle in 2023 highlighted the impacts that severe weather events can have on the marine environment. Excess sediment and resuspension of settled sediment during the event damaged seafloor habitats and ecosystems (Leduc et al, 2024). For example, pre- and post-cyclone imagery data show that populations of kelp, other macroalgae (seaweed) and sponges in the Wairoa Hard seabed area of Hawke’s Bay were almost completely lost following Cyclone Gabrielle. It is highly likely that the loss was due to sediment impacts from the cyclone. Seafloor animals in Hawke’s Bay and Gisborne also show</x:v>
      </x:c>
      <x:c r="K3" s="11" t="str">
        <x:v>NO</x:v>
      </x:c>
      <x:c r="L3" s="7" t="str">
        <x:v>NOT_CONFIRMED</x:v>
      </x:c>
      <x:c r="M3" s="7" t="str"/>
      <x:c r="N3" s="7" t="str">
        <x:v>VERIFIED_BIBLIOGRAPHIC_DOCUMENT</x:v>
      </x:c>
      <x:c r="O3" s="7" t="str">
        <x:v>B05_BROAD_SYNTHESIS_WITH_TARGET_EVIDENCE</x:v>
      </x:c>
      <x:c r="P3" s="11" t="str">
        <x:v>HIGH</x:v>
      </x:c>
      <x:c r="Q3" s="7" t="str">
        <x:v>Sponges (New Zealand coastal temperate); also kelp and macroalgae.</x:v>
      </x:c>
      <x:c r="R3" s="7" t="str">
        <x:v>Excess sediment and resuspension of settled sediment caused by Cyclone Gabrielle (2023) in Hawke's Bay.</x:v>
      </x:c>
      <x:c r="S3" s="7" t="str">
        <x:v>Pre- and post-cyclone imagery showed sponge populations almost completely lost, attributed to sediment impacts.</x:v>
      </x:c>
      <x:c r="T3" s="7" t="str">
        <x:v>Broad government assessment (Ministry for the Environment) covering sediment effects on marine ecosystems; separately reports loss of sponge populations due to sediment.</x:v>
      </x:c>
      <x:c r="U3" s="7" t="str">
        <x:v>This is a New Zealand government assessment of marine environment impact from a changing ocean. The supplied text explicitly describes excess sediment and resuspension during Cyclone Gabrielle causing near-total loss of sponges in Wairoa Hard seabed area, with strong attribution to sediment. This provides monitoring/assessment evidence for non-tropical sponge sediment effects. It is a broad synthesis rather than a dedicated deep/cold study, so B05 is the best fit; it does not meet B01 because the environment is coastal temperate rather than deep-sea/cold-water, and it is not a direct experimental mechanism study (B03). The record is substantive and should be included.</x:v>
      </x:c>
      <x:c r="V3" s="7" t="str">
        <x:v>ALL_VERIFIED_NON_TROPICAL_TIER_B_INCLUSIONS</x:v>
      </x:c>
      <x:c r="W3" s="7" t="str">
        <x:v>TBV1-0986</x:v>
      </x:c>
    </x:row>
    <x:row r="4" ht="42" customHeight="1">
      <x:c r="A4" s="14" t="str">
        <x:v>B</x:v>
      </x:c>
      <x:c r="B4" s="7" t="str">
        <x:v>GLV4-90C6A04C4289</x:v>
      </x:c>
      <x:c r="C4" s="7" t="str">
        <x:v>2nd Offshore Carbon Dioxide Storage Licensing Round</x:v>
      </x:c>
      <x:c r="D4" s="7" t="str"/>
      <x:c r="E4" s="11" t="str"/>
      <x:c r="F4" s="7" t="str">
        <x:v>assets.publishing.service.gov.uk</x:v>
      </x:c>
      <x:c r="G4" s="7" t="str">
        <x:v>report</x:v>
      </x:c>
      <x:c r="H4" s="7" t="str"/>
      <x:c r="I4" s="7" t="str">
        <x:v>https://assets.publishing.service.gov.uk/media/6a5e30c130f5842e1f5a5e90/2nd_CS_Round_HRA_AA_Draft.pdf</x:v>
      </x:c>
      <x:c r="J4" s="7" t="str">
        <x:v>areas with sensitive benthic fauna, for example corals and sponges. Laboratory experiments by Allers et al. (2013) indicated that cold water coral (Lophelia pertusa = Desmophyllum pertusum) fragments were resilient to sedimentation-induced oxygen stress, but if coverage by sediment was complete and lasted long enough, the coral could not recover and died. Such effects can be mitigated in areas of sensitive species presence through site specific controls on whether, and where, drilling discharges are made. Järnegren et al. (2017) noted that natural high turbidity events lasting hours or days ca</x:v>
      </x:c>
      <x:c r="K4" s="11" t="str">
        <x:v>YES</x:v>
      </x:c>
      <x:c r="L4" s="7" t="str">
        <x:v>PUBLIC_FULL_DOCUMENT_LOCATION</x:v>
      </x:c>
      <x:c r="M4" s="7" t="str">
        <x:v>https://assets.publishing.service.gov.uk/media/6a5e30c130f5842e1f5a5e90/2nd_CS_Round_HRA_AA_Draft.pdf</x:v>
      </x:c>
      <x:c r="N4" s="7" t="str">
        <x:v>VERIFIED_DIRECT_DOCUMENT_URL</x:v>
      </x:c>
      <x:c r="O4" s="7" t="str">
        <x:v>B02_DEEP_COLD_REVIEW_ASSESSMENT</x:v>
      </x:c>
      <x:c r="P4" s="11" t="str">
        <x:v>HIGH</x:v>
      </x:c>
      <x:c r="Q4" s="7" t="str">
        <x:v>Cold-water coral Lophelia pertusa (Desmophyllum pertusum) and sensitive benthic fauna including corals and sponges.</x:v>
      </x:c>
      <x:c r="R4" s="7" t="str">
        <x:v>Sedimentation, complete sediment coverage, drilling discharges, and natural high turbidity events.</x:v>
      </x:c>
      <x:c r="S4" s="7" t="str">
        <x:v>Reports coral resilience to sedimentation-induced oxygen stress but mortality from complete and prolonged sediment coverage; includes mitigation through site-specific controls on drilling discharges.</x:v>
      </x:c>
      <x:c r="T4" s="7" t="str">
        <x:v>A government regulatory assessment (HRA/AA draft) for an offshore CO2 storage licensing round that directly evaluates sediment impacts on deep/cold-water corals and sponges, including biological responses and mitigation measures. This is a substantive assessment document with a clear sediment-impact focus, meeting B02.</x:v>
      </x:c>
      <x:c r="U4" s="7" t="str">
        <x:v>This record is a regulatory assessment (HRA/AA draft) from a government source, explicitly discussing sediment-related effects on cold-water corals and sponges. The abstract snippet cites laboratory evidence on Lophelia pertusa responses to sedimentation and oxygen stress, mortality from complete sediment coverage, and mitigation via drilling discharge controls. This is a direct sediment-impact assessment for deep/cold corals and sponges, fitting B02_DEEP_COLD_REVIEW_ASSESSMENT. It is preferable to B01 because it is a review/assessment rather than primary experimental evidence, and preferable to CHAIN_ONLY because it contains substantive directly relevant content rather than only references. Exclude is inappropriate because the sediment pathway and biological/assessment value are explicit. Confidence is high based on the provided abstract.</x:v>
      </x:c>
      <x:c r="V4" s="7" t="str">
        <x:v>ALL_VERIFIED_NON_TROPICAL_TIER_B_INCLUSIONS</x:v>
      </x:c>
      <x:c r="W4" s="7" t="str">
        <x:v>TBV1-0524</x:v>
      </x:c>
    </x:row>
    <x:row r="5" ht="42" customHeight="1">
      <x:c r="A5" s="14" t="str">
        <x:v>B</x:v>
      </x:c>
      <x:c r="B5" s="7" t="str">
        <x:v>CWC-78BCE67F0BDF</x:v>
      </x:c>
      <x:c r="C5" s="7" t="str">
        <x:v>Accelerated growth of the scleractinian coral Orbicella faveolata under turbid and polluted water conditions</x:v>
      </x:c>
      <x:c r="D5" s="7" t="str">
        <x:v>Luis Lizcano-Sandoval | Ángela M. Marulanda-Gómez | Mateo López‐Victoria | Alberto Rodriguez‐Ramirez</x:v>
      </x:c>
      <x:c r="E5" s="11" t="str">
        <x:v>2024</x:v>
      </x:c>
      <x:c r="F5" s="7" t="str">
        <x:v>bioRxiv (Cold Spring Harbor Laboratory)</x:v>
      </x:c>
      <x:c r="G5" s="7" t="str">
        <x:v>preprint</x:v>
      </x:c>
      <x:c r="H5" s="7" t="str">
        <x:v>10.1101/2024.11.20.624512</x:v>
      </x:c>
      <x:c r="I5" s="7" t="str">
        <x:v>https://doi.org/10.1101/2024.11.20.624512</x:v>
      </x:c>
      <x:c r="J5" s="7" t="str">
        <x:v>Abstract Cartagena Bay, Colombia, experienced historical changes in water quality, mainly due to dredging and channelization of the Canal del Dique, which connects the bay with the Magdalena River. In 1981 the largest dredging events occurred in the Canal del Dique, which negatively affected the water quality in the bay. In this bay, the coral reef of Varadero depicts high coral diversity and large coral colonies, showing apparent signs of a healthy ecosystem, under highly turbid and polluted waters. Here, we evaluated the potential effects of historical water quality changes and environmental variables on the coral skeletal growth of Orbicella faveolata . We obtained coral growth information from 65 years in the period 1951–2015. Coral skeletal density was 0.73 g cm -3 , linear extension 1.02 cm yr -1 , and calcification 0.74 g cm -2 yr -1 . After 1981, significant changes in coral growth and luminescence were found: skeletal density decreased (9.9%), linear extension increased (6.6%), and skeletal luminescence was less intense (1.6%). In overall, Atlantic Multidecadal Oscillation (AMO) data explained changes in skeletal density (8–10%) and linear extension (7–19%). Air temperature explained changes in skeletal luminescence (22–45%). Water flow of the Canal del Dique did not contribute significantly to any coral growth and luminescence variables. The growth of O. faveolata in Varadero Reef was characterized by low density skeletons and an accelerated linear extension, apparently influenced by the dredging events of 1981. Further research is required to understand coral growth responses and resilience to the conditions of high turbidity, pollution, and low light in Cartagena Bay.</x:v>
      </x:c>
      <x:c r="K5" s="11" t="str">
        <x:v>YES</x:v>
      </x:c>
      <x:c r="L5" s="7" t="str">
        <x:v>FROZEN_PUBLIC_FULL_TEXT_LOCATION</x:v>
      </x:c>
      <x:c r="M5" s="7" t="str">
        <x:v>https://www.biorxiv.org/content/biorxiv/early/2024/11/21/2024.11.20.624512.full.pdf</x:v>
      </x:c>
      <x:c r="N5" s="7" t="str">
        <x:v>VERIFIED_DOI_DOCUMENT</x:v>
      </x:c>
      <x:c r="O5" s="7" t="str">
        <x:v>B04_TROPICAL_PHYSICAL_SEDIMENT_ANALOGUE</x:v>
      </x:c>
      <x:c r="P5" s="11" t="str">
        <x:v>HIGH</x:v>
      </x:c>
      <x:c r="Q5" s="7" t="str">
        <x:v>Tropical scleractinian coral Orbicella faveolata from Varadero Reef, Cartagena Bay, Colombia.</x:v>
      </x:c>
      <x:c r="R5" s="7" t="str">
        <x:v>Historical water quality changes due to dredging and channelization of Canal del Dique, causing high turbidity and polluted waters; study evaluates effects of these conditions on coral growth.</x:v>
      </x:c>
      <x:c r="S5" s="7" t="str">
        <x:v>Coral skeletal growth metrics: skeletal density (decreased 9.9%), linear extension (increased 6.6%), calcification, and luminescence; significant changes after 1981 dredging events.</x:v>
      </x:c>
      <x:c r="T5" s="7" t="str">
        <x:v>Tropical coral study directly measuring biological response (growth metrics) to physical sediment-related exposure (turbidity/dredging), meeting B04 broader physical sediment analogue criteria.</x:v>
      </x:c>
      <x:c r="U5" s="7" t="str">
        <x:v>The record is a substantive preprint on a tropical coral (O. faveolata) from a reef under turbid and polluted conditions linked to dredging. It directly measures skeletal growth responses (density and extension) after major dredging events, providing clear sediment-pathway biological response evidence. This qualifies under B04 as a tropical physical sediment analogue, broader than Tier A. Not B01 because the coral is tropical, not deep/cold. Not B03 because it is tropical. Not B05 because it is not a broad synthesis. The abstract provides sufficient evidence for inclusion.</x:v>
      </x:c>
      <x:c r="V5" s="7" t="str">
        <x:v>SPARING_TOP_25_TROPICAL_DIRECT_PHYSICAL_ANALOGUES</x:v>
      </x:c>
      <x:c r="W5" s="7" t="str">
        <x:v>TBV1-1017</x:v>
      </x:c>
    </x:row>
    <x:row r="6" ht="42" customHeight="1">
      <x:c r="A6" s="14" t="str">
        <x:v>B</x:v>
      </x:c>
      <x:c r="B6" s="7" t="str">
        <x:v>CWC-D655E9142F8E</x:v>
      </x:c>
      <x:c r="C6" s="7" t="str">
        <x:v>Achieving adequate protection for Howe Sound's glass sponge reefs and gardens</x:v>
      </x:c>
      <x:c r="D6" s="7" t="str">
        <x:v>Camille Mohn</x:v>
      </x:c>
      <x:c r="E6" s="11" t="str">
        <x:v>2017</x:v>
      </x:c>
      <x:c r="F6" s="7" t="str">
        <x:v>cIRcle (University of British Columbia)</x:v>
      </x:c>
      <x:c r="G6" s="7" t="str">
        <x:v>report</x:v>
      </x:c>
      <x:c r="H6" s="7" t="str">
        <x:v>10.14288/1.0305012</x:v>
      </x:c>
      <x:c r="I6" s="7" t="str">
        <x:v>https://doi.org/10.14288/1.0305012</x:v>
      </x:c>
      <x:c r="J6" s="7" t="str">
        <x:v>What needs to be done in order to adequately protect Howe Sound’s glass sponge reefs? Monitoring of fishing closures in Howe Sound is currently insufficient to properly enforce fishing closures. Thus, increased funding will be required to properly monitor current and future glass sponge reef fishing closures. Further, the mining company Burnco is proposing a mine at McNab creek, on the west shore of Howe Sound. Since glass sponges are extremely sensitive to sedimentation and sedimentation from the mine is inevitable, the amount of sediment that could reach the nearest class sponges and the sediment tolerance of these sponges must be determined. Dr. Leys, from the University of Alberta, is currently researching sediment tolerance of glass sponge reefs to help answer these questions. Burnco’s project should be put on hold until further results are found. I also recommend that boat rental companies be held liable when anchors from their boats damage glass sponge reefs, that a smartphone app be created to help recreational boaters keep their anchors out of glass sponge reefs and that further efforts to educate the public on glass sponge reefs be made. This study was suggested by community partners from Ken Melamed from the Green Party of Canada and Ruth Simons from the Future of Howe Sound Society. A literature review and interviews with experts were conducted in order to answer this question and provide recommendations for future policymaking. Glass sponge reefs are a Jurassic formation believed extinct until the 1980s when they were discovered off the coast of British Columbia. Since then, smaller glass sponge reefs and gardens continue to be discovered. Glass sponge reefs provide valuable ecosystems services such as water filtration and purification and endangered rockfish habitat. They may also sequester carbon. Glass sponge gardens host even greater biodiversity than glass sponge reefs and serve as nurseries for endangered rockfish. As research on glass sponges has progressed, new formations have been discovered, damage to reefs has been observed and industrial projects have been proposed near reef locations. Ensuring protection of these formations has become pressing. In Howe Sound there are two glass sponge reefs currently protected through fishing closures assigned by Canada’s Department of Fisheries and Oceans (DFO). One other reef in Howe Sound will soon gain protection since the province of British Columbia will increase the size of Halkett Bay Marine Provincial Park. Yet many other glass sponge reefs and gardens in Howe Sound still lack protection. Some glass sponge reefs are indirectly protected because they happen to be located in Rockfish Conservations Areas. The Canadian Parks and Wilderness Society (CPAWS) would like to establish Marine Protected Areas (MPAs) for glass sponge reefs in Howe Sound; however neither of these options will protect glass sponges from all types of fishing gear. DFO fishing closures will be required to achieve this.</x:v>
      </x:c>
      <x:c r="K6" s="11" t="str">
        <x:v>NO</x:v>
      </x:c>
      <x:c r="L6" s="7" t="str">
        <x:v>NOT_CONFIRMED</x:v>
      </x:c>
      <x:c r="M6" s="7" t="str"/>
      <x:c r="N6" s="7" t="str">
        <x:v>VERIFIED_DOI_DOCUMENT</x:v>
      </x:c>
      <x:c r="O6" s="7" t="str">
        <x:v>B02_DEEP_COLD_REVIEW_ASSESSMENT</x:v>
      </x:c>
      <x:c r="P6" s="11" t="str">
        <x:v>HIGH</x:v>
      </x:c>
      <x:c r="Q6" s="7" t="str">
        <x:v>Glass sponge reefs and gardens (Hexactinellida) in Howe Sound, British Columbia.</x:v>
      </x:c>
      <x:c r="R6" s="7" t="str">
        <x:v>Sedimentation from proposed Burnco mine at McNab Creek; sediment potentially reaching nearby glass sponges; need to determine sediment tolerance.</x:v>
      </x:c>
      <x:c r="S6" s="7" t="str">
        <x:v>Assessment of protection adequacy for glass sponge reefs; notes insufficient monitoring of fishing closures; recommends determining sediment tolerance and pausing mining until results are available; also discusses anchor damage and public education.</x:v>
      </x:c>
      <x:c r="T6" s="7" t="str">
        <x:v>B02_DEEP_COLD_REVIEW_ASSESSMENT: Substantive report with direct sediment-impact focus on cold-water glass sponges, providing management recommendations and highlighting research needs on sediment tolerance.</x:v>
      </x:c>
      <x:c r="U6" s="7" t="str">
        <x:v>This is a substantive report on protecting cold-water glass sponge reefs in Howe Sound. It explicitly identifies sedimentation from a proposed mine as a key threat, notes that glass sponges are extremely sensitive to sedimentation, and calls for determining sediment tolerance. This qualifies under B02 as a review/assessment with direct sediment-impact focus and clear potential to inform effects, exposure, thresholds, and mitigation. It is not primary experimental evidence, so B01 is less appropriate, but the report synthesizes current knowledge and provides policy-relevant recommendations. The organism (glass sponges) and sediment pathway are explicit, and the response/assessment value is clear.</x:v>
      </x:c>
      <x:c r="V6" s="7" t="str">
        <x:v>ALL_VERIFIED_NON_TROPICAL_TIER_B_INCLUSIONS</x:v>
      </x:c>
      <x:c r="W6" s="7" t="str">
        <x:v>TBV1-0031</x:v>
      </x:c>
    </x:row>
    <x:row r="7" ht="42" customHeight="1">
      <x:c r="A7" s="14" t="str">
        <x:v>B</x:v>
      </x:c>
      <x:c r="B7" s="7" t="str">
        <x:v>CWC-EF0CBC2EDD39</x:v>
      </x:c>
      <x:c r="C7" s="7" t="str">
        <x:v>Add-on studies to the current NFR Project “Impact of water- based drilling mud: a study using the epibenthic coral species Lophelia pertusa</x:v>
      </x:c>
      <x:c r="D7" s="7" t="str">
        <x:v>Thierry Baussant | Fiona Provan | Maria Sydnes | Fiona M. Lyng | Eivind Larssen | Bjørkblom, C. | Krista M. Kaster | Boccadoro, Cathrine | Nævdal, A. | A. Eide</x:v>
      </x:c>
      <x:c r="E7" s="11" t="str">
        <x:v>2010</x:v>
      </x:c>
      <x:c r="F7" s="7" t="str">
        <x:v>Duo Research Archive (University of Oslo)</x:v>
      </x:c>
      <x:c r="G7" s="7" t="str">
        <x:v>report</x:v>
      </x:c>
      <x:c r="H7" s="7" t="str"/>
      <x:c r="I7" s="7" t="str">
        <x:v>http://hdl.handle.net/11250/2632304</x:v>
      </x:c>
      <x:c r="J7" s="7" t="str">
        <x:v>This study was made in the frame of an ongoing NFR project aiming at assessing the impact of drilling mud (DM) discharges from offshore O&amp;G operations on the coldwater coral species Lophelia pertusa. Here, we have initiated developments and use of methodologies that could have a potential for application, at a later stage of their optimization, in field monitoring of coral health and hence for documenting the effects of drilling mud discharges</x:v>
      </x:c>
      <x:c r="K7" s="11" t="str">
        <x:v>NO</x:v>
      </x:c>
      <x:c r="L7" s="7" t="str">
        <x:v>NOT_CONFIRMED</x:v>
      </x:c>
      <x:c r="M7" s="7" t="str"/>
      <x:c r="N7" s="7" t="str">
        <x:v>VERIFIED_BIBLIOGRAPHIC_DOCUMENT</x:v>
      </x:c>
      <x:c r="O7" s="7" t="str">
        <x:v>B01_DEEP_COLD_SEDIMENT_EVIDENCE</x:v>
      </x:c>
      <x:c r="P7" s="11" t="str">
        <x:v>HIGH</x:v>
      </x:c>
      <x:c r="Q7" s="7" t="str">
        <x:v>Cold-water coral Lophelia pertusa</x:v>
      </x:c>
      <x:c r="R7" s="7" t="str">
        <x:v>Water-based drilling mud discharges from offshore oil and gas operations</x:v>
      </x:c>
      <x:c r="S7" s="7" t="str">
        <x:v>Development of methodologies for field monitoring of coral health and documenting effects of drilling mud discharges</x:v>
      </x:c>
      <x:c r="T7" s="7" t="str">
        <x:v>Explicit deep/cold coral with a direct sediment-related pathway (drilling mud) and biological/ecological impact evidence (monitoring methodologies and effect documentation).</x:v>
      </x:c>
      <x:c r="U7" s="7" t="str">
        <x:v>This report is substantively focused on the cold-water coral Lophelia pertusa and the impact of water-based drilling mud, a sediment-related stressor. The abstract describes developing and using methodologies to assess coral health and document the effects of drilling mud discharges, which constitutes biological/ecological impact evidence. This matches B01 (deep/cold sediment evidence) rather than B02 because it is a research report conducting or developing direct evidence, not a pure review or assessment. The explicit organism, stressor, and response are all present, so exclusion or uncertainty is not warranted.</x:v>
      </x:c>
      <x:c r="V7" s="7" t="str">
        <x:v>ALL_VERIFIED_NON_TROPICAL_TIER_B_INCLUSIONS</x:v>
      </x:c>
      <x:c r="W7" s="7" t="str">
        <x:v>TBV1-0011</x:v>
      </x:c>
    </x:row>
    <x:row r="8" ht="42" customHeight="1">
      <x:c r="A8" s="14" t="str">
        <x:v>B</x:v>
      </x:c>
      <x:c r="B8" s="7" t="str">
        <x:v>CWC-20B3F92CE246</x:v>
      </x:c>
      <x:c r="C8" s="7" t="str">
        <x:v>Additive negative effects of anthropogenic sedimentation and warming on the survival of coral recruits</x:v>
      </x:c>
      <x:c r="D8" s="7" t="str">
        <x:v>Francesca Fourney | Joana Figueiredo</x:v>
      </x:c>
      <x:c r="E8" s="11" t="str">
        <x:v>2017</x:v>
      </x:c>
      <x:c r="F8" s="7" t="str">
        <x:v>Scientific Reports</x:v>
      </x:c>
      <x:c r="G8" s="7" t="str">
        <x:v>article</x:v>
      </x:c>
      <x:c r="H8" s="7" t="str">
        <x:v>10.1038/s41598-017-12607-w</x:v>
      </x:c>
      <x:c r="I8" s="7" t="str">
        <x:v>https://doi.org/10.1038/s41598-017-12607-w</x:v>
      </x:c>
      <x:c r="J8" s="7" t="str">
        <x:v>Abstract Corals worldwide are facing population declines due to global climate change and local anthropogenic impacts. Global climate change effects are hard to tackle but recent studies show that some coral species can better handle climate change stress when provided with additional energy resources. The local stressor that most undermines energy acquisition is sedimentation because it impedes coral heterotrophic feeding and their ability to photosynthesize. To investigate if reducing local sedimentation will enable corals to better endure ocean warming, we quantitatively assessed the combined effects of increased temperature and sedimentation (concentration and turbidity) on the survival of coral recruits of the species, Porites astreoides . We used sediment from a reef and a boat basin to mimic natural sediment (coarse) and anthropogenic (fine) sediment (common in dredging), respectively. Natural sediment did not negatively impact coral survival, but anthropogenic sediment did. We found that the capacity of coral recruits to survive under warmer temperatures is less compromised when anthropogenic sedimentation is maintained at the lowest level (30 mg.cm −2 ). Our study suggests that a reduction of US-EPA allowable turbidity from 29 Nephelometric Turbidity Units (NTU) above background to less than 7 NTU near coral reefs would facilitate coral recruit survival under current and higher temperatures.</x:v>
      </x:c>
      <x:c r="K8" s="11" t="str">
        <x:v>YES</x:v>
      </x:c>
      <x:c r="L8" s="7" t="str">
        <x:v>FROZEN_PUBLIC_FULL_TEXT_LOCATION</x:v>
      </x:c>
      <x:c r="M8" s="7" t="str">
        <x:v>https://www.nature.com/articles/s41598-017-12607-w.pdf</x:v>
      </x:c>
      <x:c r="N8" s="7" t="str">
        <x:v>VERIFIED_DOI_DOCUMENT</x:v>
      </x:c>
      <x:c r="O8" s="7" t="str">
        <x:v>B04_TROPICAL_PHYSICAL_SEDIMENT_ANALOGUE</x:v>
      </x:c>
      <x:c r="P8" s="11" t="str">
        <x:v>HIGH</x:v>
      </x:c>
      <x:c r="Q8" s="7" t="str">
        <x:v>Coral recruits of the species Porites astreoides (tropical scleractinian coral)</x:v>
      </x:c>
      <x:c r="R8" s="7" t="str">
        <x:v>Anthropogenic sedimentation (fine sediment from boat basin) and turbidity, combined with increased temperature; natural sediment compared</x:v>
      </x:c>
      <x:c r="S8" s="7" t="str">
        <x:v>Quantitative assessment of recruit survival under sediment concentration and turbidity; survival was reduced by anthropogenic sediment and additive with warming; suggests turbidity threshold reduction from 29 NTU to &lt;7 NTU to facilitate survival</x:v>
      </x:c>
      <x:c r="T8" s="7" t="str">
        <x:v>Tropical coral study directly experimentally testing physical sediment exposure (sedimentation and turbidity) and reporting a biological response (survival) with exposure thresholds, thus qualifying under the wider Tier B pathway for tropical physical sediment analogues.</x:v>
      </x:c>
      <x:c r="U8" s="7" t="str">
        <x:v>The study directly examines the effect of sediment exposure (anthropogenic fine sediment and turbidity) and warming on survival of Porites astreoides recruits. This is a tropical coral species and the response is clearly biological and relevant: recruit survival is reduced with additive negative effects. The abstract provides explicit quantitative data and a threshold recommendation, so the evidence is sufficient without full text. This is not a deep/cold study (B01/B02), nor a non-tropical mechanism (B03), but fits the B04 tropical physical sediment analogue category. The document is a substantive article, not webpage or search result, so exclusion is not appropriate. Therefore TIER_B_INCLUDE with B04 rationale is appropriate.</x:v>
      </x:c>
      <x:c r="V8" s="7" t="str">
        <x:v>SPARING_TOP_25_TROPICAL_DIRECT_PHYSICAL_ANALOGUES</x:v>
      </x:c>
      <x:c r="W8" s="7" t="str">
        <x:v>TBV1-1018</x:v>
      </x:c>
    </x:row>
    <x:row r="9" ht="42" customHeight="1">
      <x:c r="A9" s="14" t="str">
        <x:v>B</x:v>
      </x:c>
      <x:c r="B9" s="7" t="str">
        <x:v>CWC-1B95A1213301</x:v>
      </x:c>
      <x:c r="C9" s="7" t="str">
        <x:v>Advances in Integrated Environmental Monitoring</x:v>
      </x:c>
      <x:c r="D9" s="7" t="str">
        <x:v>Harald Wesenberg | Vidar Hepsø | Anders Hermansen</x:v>
      </x:c>
      <x:c r="E9" s="11" t="str">
        <x:v>2014</x:v>
      </x:c>
      <x:c r="F9" s="7" t="str"/>
      <x:c r="G9" s="7" t="str">
        <x:v>conference-paper</x:v>
      </x:c>
      <x:c r="H9" s="7" t="str">
        <x:v>10.2118/167860-ms</x:v>
      </x:c>
      <x:c r="I9" s="7" t="str">
        <x:v>https://doi.org/10.2118/167860-ms</x:v>
      </x:c>
      <x:c r="J9" s="7" t="str">
        <x:v>Abstract The term Integrated Environmental Monitoring (IEM) refers to the tight coupling of sensor based real-time environmental monitoring with day-to-day operations. In that perspective IEM extends the traditional meaning of the term environmental monitoring by including discharge control, leak detection and remote sensing. Using offshore operations as an example, environmental monitoring has often been perceived to mean off-line sampling of seabed sediments and the water column during annual and triennial campaigns by ship. Whereas such monitoring has its place in a total monitoring programme, advances in technology and methodology open up for more flexible and real-time sensor based monitoring which can be tied closely to daily operations in the oil and gas industry. Statoil has been working for the past few years to develop an integrated approach to environmental monitoring (IEM). Now, the first version of the software, developed together with partners, is ready for use during drilling operations to monitor dispersion of drill cuttings and resulting risks to cold water corals and other sensitive areas subsea. Both the planning, execution and post-operation phase of environmental assessment related to such operations are covered. In this paper we take a look at the key components of the system (sensors, data integration, models/analytics and presentation) and review the implications for future drilling operations in sensitive areas.</x:v>
      </x:c>
      <x:c r="K9" s="11" t="str">
        <x:v>NO</x:v>
      </x:c>
      <x:c r="L9" s="7" t="str">
        <x:v>NOT_CONFIRMED</x:v>
      </x:c>
      <x:c r="M9" s="7" t="str"/>
      <x:c r="N9" s="7" t="str">
        <x:v>VERIFIED_DOI_DOCUMENT</x:v>
      </x:c>
      <x:c r="O9" s="7" t="str">
        <x:v>B02_DEEP_COLD_REVIEW_ASSESSMENT</x:v>
      </x:c>
      <x:c r="P9" s="11" t="str">
        <x:v>HIGH</x:v>
      </x:c>
      <x:c r="Q9" s="7" t="str">
        <x:v>Cold water corals are explicitly mentioned as a sensitive ecosystem at risk.</x:v>
      </x:c>
      <x:c r="R9" s="7" t="str">
        <x:v>Drill cuttings dispersion from offshore drilling operations is the sediment-related stressor.</x:v>
      </x:c>
      <x:c r="S9" s="7" t="str">
        <x:v>The paper describes an integrated environmental monitoring system that assesses risks to cold water corals from drill cuttings, covering planning, execution, and post-operation phases.</x:v>
      </x:c>
      <x:c r="T9" s="7" t="str">
        <x:v>This substantive conference paper directly addresses monitoring and assessment of sediment-related impacts (drill cuttings) on cold-water corals, meeting the B02 criterion for a monitoring/assessment document with clear relevance to effects, exposure, and mitigation.</x:v>
      </x:c>
      <x:c r="U9" s="7" t="str">
        <x:v>The abstract clearly identifies a deep/cold-water coral target (cold water corals) and a sediment-related pathway (dispersion of drill cuttings). It presents an integrated environmental monitoring system designed to assess risks to these corals, which constitutes monitoring and assessment evidence directly relevant to Tier B. The document is a substantive conference paper, not a discovery webpage. It fits B02 more than B01 because the emphasis is on a monitoring/assessment approach rather than empirical sediment response data. The abstract provides sufficient detail for inclusion; full text is not required for the decision.</x:v>
      </x:c>
      <x:c r="V9" s="7" t="str">
        <x:v>ALL_VERIFIED_NON_TROPICAL_TIER_B_INCLUSIONS</x:v>
      </x:c>
      <x:c r="W9" s="7" t="str">
        <x:v>TBV1-0132</x:v>
      </x:c>
    </x:row>
    <x:row r="10" ht="42" customHeight="1">
      <x:c r="A10" s="14" t="str">
        <x:v>B</x:v>
      </x:c>
      <x:c r="B10" s="7" t="str">
        <x:v>CWC-A0E8136D6C79</x:v>
      </x:c>
      <x:c r="C10" s="7" t="str">
        <x:v>Assessing Effects of Sediment Delivery to Coral Reefs: A Caribbean Watershed Perspective</x:v>
      </x:c>
      <x:c r="D10" s="7" t="str">
        <x:v>Caroline S. Rogers | Carlos E. Ramos‐Scharrón</x:v>
      </x:c>
      <x:c r="E10" s="11" t="str">
        <x:v>2022</x:v>
      </x:c>
      <x:c r="F10" s="7" t="str">
        <x:v>Frontiers in Marine Science</x:v>
      </x:c>
      <x:c r="G10" s="7" t="str">
        <x:v>article</x:v>
      </x:c>
      <x:c r="H10" s="7" t="str">
        <x:v>10.3389/fmars.2021.773968</x:v>
      </x:c>
      <x:c r="I10" s="7" t="str">
        <x:v>https://doi.org/10.3389/fmars.2021.773968</x:v>
      </x:c>
      <x:c r="J10" s="7" t="str">
        <x:v>Coral reefs in the western Atlantic and Caribbean are deteriorating primarily from disease outbreaks, increasing seawater temperatures, and stress due to land-based sources of pollutants including sediments associated with land use and dredging. Sediments affect corals in numerous ways including smothering, abrasion, shading, and inhibition of coral recruitment. Sediment delivery resulting in deposition and water quality deterioration can cause degradation at the spatial scale of corals or entire reefs. We still lack rigorous long-term studies of coral cover and community composition before, during and after major sediment stress, and evidence of recovery after watershed management actions. Here we present an overview of the effects of terrestrial sediments on corals and coral reefs, with recent advances in approaches to watershed assessment relevant to the delivery of sediments to these ecosystems. We present case studies of northeastern Caribbean watersheds to illustrate challenges and possible solutions and to draw conclusions about the current state of knowledge of sediment effects on coral reefs. With a better understanding of erosion and the pathways of sediment discharge to nearshore reefs, there is the increased potential for management interventions.</x:v>
      </x:c>
      <x:c r="K10" s="11" t="str">
        <x:v>YES</x:v>
      </x:c>
      <x:c r="L10" s="7" t="str">
        <x:v>FROZEN_PUBLIC_FULL_TEXT_LOCATION</x:v>
      </x:c>
      <x:c r="M10" s="7" t="str">
        <x:v>https://www.frontiersin.org/articles/10.3389/fmars.2021.773968/pdf</x:v>
      </x:c>
      <x:c r="N10" s="7" t="str">
        <x:v>VERIFIED_DOI_DOCUMENT</x:v>
      </x:c>
      <x:c r="O10" s="7" t="str">
        <x:v>B05_BROAD_SYNTHESIS_WITH_TARGET_EVIDENCE</x:v>
      </x:c>
      <x:c r="P10" s="11" t="str">
        <x:v>HIGH</x:v>
      </x:c>
      <x:c r="Q10" s="7" t="str">
        <x:v>Tropical Caribbean corals (reef-building corals) are the primary organisms discussed, with focus on coral reefs and coral recruitment.</x:v>
      </x:c>
      <x:c r="R10" s="7" t="str">
        <x:v>Terrestrial sediment delivery, including deposition, land use, and dredging; water quality deterioration from sediment; watershed pathways to nearshore reefs.</x:v>
      </x:c>
      <x:c r="S10" s="7" t="str">
        <x:v>Smothering, abrasion, shading, inhibition of coral recruitment, and degradation from individual corals to entire reefs; discussion of long-term studies and recovery potential after watershed management.</x:v>
      </x:c>
      <x:c r="T10" s="7" t="str">
        <x:v>This is a substantive review and assessment article synthesizing sediment effects on Caribbean coral reefs, providing direct relevance to sediment-impact effects, exposure, vulnerability, and mitigation. It qualifies under B05 as a broad synthesis/assessment with coral-specific evidence.</x:v>
      </x:c>
      <x:c r="U10" s="7" t="str">
        <x:v>This record is a review article in Frontiers in Marine Science assessing effects of sediment delivery on Caribbean coral reefs. The organism evidence is tropical reef-building corals; the stressor pathway is terrestrial sediment delivery, deposition, and water quality deterioration; responses include smothering, abrasion, shading, recruitment inhibition, and reef degradation. As a synthesis and assessment focused on coral sediment impacts, it separately reports coral-relevant evidence and directly informs effects, exposure, and management, meeting B05_BROAD_SYNTHESIS_WITH_TARGET_EVIDENCE. It is not B01–B03 because it is not deep/cold water nor a direct experimental/measurement study; it is not B04 because it is a review rather than a direct experimental test. It is substantive, not a navigation page, and provides clear coral-specific sediment evidence, so CHAIN_ONLY or EXCLUDE are inappropriate.</x:v>
      </x:c>
      <x:c r="V10" s="7" t="str">
        <x:v>ALL_VERIFIED_NON_TROPICAL_TIER_B_INCLUSIONS</x:v>
      </x:c>
      <x:c r="W10" s="7" t="str">
        <x:v>TBV1-1104</x:v>
      </x:c>
    </x:row>
    <x:row r="11" ht="42" customHeight="1">
      <x:c r="A11" s="14" t="str">
        <x:v>B</x:v>
      </x:c>
      <x:c r="B11" s="7" t="str">
        <x:v>CWC-06BDF66486D2</x:v>
      </x:c>
      <x:c r="C11" s="7" t="str">
        <x:v>Assessing the ecological risk to deep-sea megafaunal assemblages from seafloor massive sulfide mining using a functional traits sensitivity approach</x:v>
      </x:c>
      <x:c r="D11" s="7" t="str">
        <x:v>Rachel E. Boschen‐Rose | Malcolm R. Clark | Ashley A. Rowden | Jonathan P. A. Gardner</x:v>
      </x:c>
      <x:c r="E11" s="11" t="str">
        <x:v>2021</x:v>
      </x:c>
      <x:c r="F11" s="7" t="str">
        <x:v>Ocean &amp; Coastal Management</x:v>
      </x:c>
      <x:c r="G11" s="7" t="str">
        <x:v>article</x:v>
      </x:c>
      <x:c r="H11" s="7" t="str">
        <x:v>10.1016/j.ocecoaman.2021.105656</x:v>
      </x:c>
      <x:c r="I11" s="7" t="str">
        <x:v>https://doi.org/10.1016/j.ocecoaman.2021.105656</x:v>
      </x:c>
      <x:c r="J11" s="7" t="str">
        <x:v>Abstract The deep sea is subject to multiple anthropogenic disturbances, to which may soon be added mining of hydrothermally-formed seafloor massive sulfides (SMS). As a first step towards a full Ecological Risk Assessment (ERA) for SMS mining, ecological sensitivity to mining activities was assessed based on the functional traits of benthic megafaunal taxa. Faunal distribution and abundance data at two different spatial scales (within seamount and within site) were used from two video surveys conducted at un-fished SMS deposit-hosting seamounts on the Kermadec Volcanic Arc, New Zealand. For each of the 157 taxa identified in the seamount and site surveys, sensitivity was scored for six functional traits: adult size, environmental position, living habit, feeding habit, mobility, and structural fragility. Sensitivity (very low, low, intermediate, high, very high) was scored separately for three mining disturbances: passage of mining vehicles along the seafloor, sediment plumes generated by mining activity, and mineral extraction. The effects of different abundance and diversity weightings on the results were explored and transformations chosen based on ecological rationale. Sensitivity to mining impacts was summed within samples and mapped to show the spatial distribution of sensitivity. Samples (assemblages) consisted of 173 individual 200 m transects for seamount survey data and 153 individual 15 m transects for site survey data. For both spatial scales, the sensitivity of taxa and the sensitivity summed within each sample (assemblage) was greatest to mineral extraction, followed by plume impacts, and least sensitive to vehicle impacts. The location of most very highly sensitive assemblages coincided with the occurrence of hydrothermal vent taxa or previously mapped locations for hydrothermally active habitat. Highly sensitive assemblages occurred at hydrothermally inactive sulfide structures, such as chimneys, and other locations where assemblages were dominated by fragile, sessile, suspension-feeding taxa, such as scleractinian branching corals. The approach taken here illustrates spatial patterns in sensitivity within seamounts and sites and provides an important first step towards a more comprehensive ERA. This type of assessment has the potential to inform decisions on spatial management of SMS mining activities, and the suitable placement of area-based management measures, such as protected areas.</x:v>
      </x:c>
      <x:c r="K11" s="11" t="str">
        <x:v>YES</x:v>
      </x:c>
      <x:c r="L11" s="7" t="str">
        <x:v>FROZEN_PUBLIC_FULL_TEXT_LOCATION</x:v>
      </x:c>
      <x:c r="M11" s="7" t="str"/>
      <x:c r="N11" s="7" t="str">
        <x:v>VERIFIED_DOI_DOCUMENT</x:v>
      </x:c>
      <x:c r="O11" s="7" t="str">
        <x:v>B01_DEEP_COLD_SEDIMENT_EVIDENCE</x:v>
      </x:c>
      <x:c r="P11" s="11" t="str">
        <x:v>HIGH</x:v>
      </x:c>
      <x:c r="Q11" s="7" t="str">
        <x:v>Deep-sea megafaunal assemblages, including scleractinian branching corals and hydrothermal vent taxa, from seamounts on the Kermadec Volcanic Arc.</x:v>
      </x:c>
      <x:c r="R11" s="7" t="str">
        <x:v>Sediment plumes generated by seafloor massive sulfide mining activities, as well as mineral extraction and passage of mining vehicles.</x:v>
      </x:c>
      <x:c r="S11" s="7" t="str">
        <x:v>Functional traits-based sensitivity scoring (very low to very high) to plume impacts, with highly sensitive assemblages dominated by fragile, sessile, suspension-feeding taxa such as branching corals; spatial mapping of sensitivity to inform ecological risk assessment.</x:v>
      </x:c>
      <x:c r="T11" s="7" t="str">
        <x:v>B01: Deep-sea coral-bearing megafauna with an explicit sediment plume pathway and ecological impact assessment.</x:v>
      </x:c>
      <x:c r="U11" s="7" t="str">
        <x:v>The abstract explicitly addresses deep-sea megafaunal assemblages including scleractinian branching corals, evaluates sensitivity to sediment plumes from SMS mining, and provides a spatial sensitivity assessment relevant to ecological impacts. This directly meets B01, as it is a deep-sea coral source with an explicit sediment pathway and ecological assessment. It is not merely a review (B02) but a primary assessment; B04 is not applicable because the study site is deep-sea/temperate, not tropical. Exclusions do not apply because the sediment pathway and coral response are clearly identified.</x:v>
      </x:c>
      <x:c r="V11" s="7" t="str">
        <x:v>ALL_VERIFIED_CENTRAL_PEER_REVIEWED</x:v>
      </x:c>
      <x:c r="W11" s="7" t="str">
        <x:v>TBV1-0012</x:v>
      </x:c>
    </x:row>
    <x:row r="12" ht="42" customHeight="1">
      <x:c r="A12" s="14" t="str">
        <x:v>B</x:v>
      </x:c>
      <x:c r="B12" s="7" t="str">
        <x:v>SUPP-SSV3-005</x:v>
      </x:c>
      <x:c r="C12" s="7" t="str">
        <x:v>Assessment of the Effectiveness of Mitigation Measures in Reducing the Potential Impacts of Oil and Gas Exploration and Production on Areas with Defined Benthic Conservation Objectives</x:v>
      </x:c>
      <x:c r="D12" s="7" t="str">
        <x:v>Fisheries and Oceans Canada</x:v>
      </x:c>
      <x:c r="E12" s="11" t="str">
        <x:v>2019</x:v>
      </x:c>
      <x:c r="F12" s="7" t="str">
        <x:v>Canadian Science Advisory Secretariat, Science Advisory Report 2019/025</x:v>
      </x:c>
      <x:c r="G12" s="7" t="str">
        <x:v>science advisory report</x:v>
      </x:c>
      <x:c r="H12" s="7" t="str"/>
      <x:c r="I12" s="7" t="str">
        <x:v>https://www.dfo-mpo.gc.ca/csas-sccs/Publications/SAR-AS/2019/2019_025-eng.html</x:v>
      </x:c>
      <x:c r="J12" s="7" t="str">
        <x:v>National peer-reviewed review of routine oil-and-gas activities and mitigation in benthic conservation areas, many of which protect cold-water corals and sponges. It considers drilling muds and cuttings, planned discharges, potential benthic effects, and mitigation effectiveness.</x:v>
      </x:c>
      <x:c r="K12" s="11" t="str">
        <x:v>YES</x:v>
      </x:c>
      <x:c r="L12" s="7" t="str">
        <x:v>AUTHORITATIVE_FULL_DOCUMENT</x:v>
      </x:c>
      <x:c r="M12" s="7" t="str">
        <x:v>https://www.dfo-mpo.gc.ca/csas-sccs/Publications/SAR-AS/2019/2019_025-eng.html</x:v>
      </x:c>
      <x:c r="N12" s="7" t="str">
        <x:v>VERIFIED_BIBLIOGRAPHIC_DOCUMENT</x:v>
      </x:c>
      <x:c r="O12" s="7" t="str">
        <x:v>B02_DEEP_COLD_REVIEW_ASSESSMENT</x:v>
      </x:c>
      <x:c r="P12" s="11" t="str">
        <x:v>HIGH</x:v>
      </x:c>
      <x:c r="Q12" s="7" t="str">
        <x:v>Cold-water corals and sponges in benthic conservation areas</x:v>
      </x:c>
      <x:c r="R12" s="7" t="str">
        <x:v>Drilling muds and cuttings, planned discharges from oil and gas exploration and production</x:v>
      </x:c>
      <x:c r="S12" s="7" t="str">
        <x:v>Assessment of potential benthic effects from sediment/deposition and effectiveness of mitigation measures</x:v>
      </x:c>
      <x:c r="T12" s="7" t="str">
        <x:v>This is a national peer-reviewed science advisory report evaluating mitigation effectiveness for oil and gas activities in benthic conservation areas, explicitly including cold-water corals and sponges, and directly analysing drilling muds and cuttings impacts and mitigation. This meets B02 as a substantive assessment with direct sediment-impact focus.</x:v>
      </x:c>
      <x:c r="U12" s="7" t="str">
        <x:v>The record is a Canadian Science Advisory Report that assesses mitigation measures for oil and gas activities, with a direct focus on benthic conservation areas protecting cold-water corals and sponges. It explicitly considers drilling muds and cuttings and their potential benthic effects, fitting the B02 pathway for a substantive review/assessment. The organism evidence is clear (cold-water corals and sponges), and the sediment pathway is explicit (drilling muds and cuttings). The assessment value is mitigation effectiveness and potential benthic impacts. This is preferable to CHAIN_ONLY because the supplied material contains direct coral/sponge sediment-effects content, and to B01 because this is a review/assessment rather than primary evidence. Confidence is high based on the authoritative report and disclosed abstract.</x:v>
      </x:c>
      <x:c r="V12" s="7" t="str">
        <x:v>ALL_VERIFIED_CSAS</x:v>
      </x:c>
      <x:c r="W12" s="7" t="str">
        <x:v>TBV1-0409</x:v>
      </x:c>
    </x:row>
    <x:row r="13" ht="42" customHeight="1">
      <x:c r="A13" s="14" t="str">
        <x:v>B</x:v>
      </x:c>
      <x:c r="B13" s="7" t="str">
        <x:v>GLV4-B2E8E10713AC</x:v>
      </x:c>
      <x:c r="C13" s="7" t="str">
        <x:v>Assessment of the Laurentian Channel Area of Interest</x:v>
      </x:c>
      <x:c r="D13" s="7" t="str"/>
      <x:c r="E13" s="11" t="str"/>
      <x:c r="F13" s="7" t="str">
        <x:v>waves-vagues.dfo-mpo.gc.ca</x:v>
      </x:c>
      <x:c r="G13" s="7" t="str">
        <x:v>report</x:v>
      </x:c>
      <x:c r="H13" s="7" t="str"/>
      <x:c r="I13" s="7" t="str">
        <x:v>https://waves-vagues.dfo-mpo.gc.ca/Library/40619072.pdf</x:v>
      </x:c>
      <x:c r="J13" s="7" t="str">
        <x:v>occurring bottom sediments (Gass 2003). Exposure to disturbances, either physical or chemical, often results in the retraction of coral polyps. If these defense reactions persist for long periods of time because of continued exposure to a pollutant or physical disturbance, they can have various results: decreased nutrient assimilation and production, altered biochemical composition, depressed respiration and nitrogen excretion, partial or complete inhibition of growth and deposition of calcium carbonate skeleton, bacterial infection, and eventually death can result from chronic exposure to a p</x:v>
      </x:c>
      <x:c r="K13" s="11" t="str">
        <x:v>YES</x:v>
      </x:c>
      <x:c r="L13" s="7" t="str">
        <x:v>PUBLIC_FULL_DOCUMENT_LOCATION</x:v>
      </x:c>
      <x:c r="M13" s="7" t="str">
        <x:v>https://waves-vagues.dfo-mpo.gc.ca/Library/40619072.pdf</x:v>
      </x:c>
      <x:c r="N13" s="7" t="str">
        <x:v>VERIFIED_DIRECT_DOCUMENT_URL</x:v>
      </x:c>
      <x:c r="O13" s="7" t="str">
        <x:v>B02_DEEP_COLD_REVIEW_ASSESSMENT</x:v>
      </x:c>
      <x:c r="P13" s="11" t="str">
        <x:v>MEDIUM</x:v>
      </x:c>
      <x:c r="Q13" s="7" t="str">
        <x:v>Cold-water corals in the Laurentian Channel Area of Interest (Atlantic Canada)</x:v>
      </x:c>
      <x:c r="R13" s="7" t="str">
        <x:v>Bottom sediments and physical/chemical disturbances, including potential sediment deposition or smothering</x:v>
      </x:c>
      <x:c r="S13" s="7" t="str">
        <x:v>Coral polyp retraction, decreased nutrient assimilation and production, altered biochemical composition, depressed respiration, inhibited growth and calcium carbonate deposition, bacterial infection, and death from chronic exposure</x:v>
      </x:c>
      <x:c r="T13" s="7" t="str">
        <x:v>Substantive government assessment report focused on a cold-water coral area, with explicit discussion of sediment-related disturbance effects on corals, suitable for informing effects, exposure, and vulnerability.</x:v>
      </x:c>
      <x:c r="U13" s="7" t="str">
        <x:v>The record is a government assessment report of the Laurentian Channel Area of Interest, a cold-water coral region. The abstract explicitly mentions bottom sediments and describes biological responses of coral polyps to physical/chemical disturbances, including reduced growth and death. This meets B02 (deep/cold review/assessment with direct sediment-impact focus) because it is a regulatory/assessment document with clear potential to inform sediment effects on corals. It is preferable to B01 because the record is an assessment rather than a primary evidence source, and to EXCLUDE because the sediment-coral response linkage is apparent in the supplied text.</x:v>
      </x:c>
      <x:c r="V13" s="7" t="str">
        <x:v>ALL_VERIFIED_CSAS</x:v>
      </x:c>
      <x:c r="W13" s="7" t="str">
        <x:v>TBV1-0485</x:v>
      </x:c>
    </x:row>
    <x:row r="14" ht="42" customHeight="1">
      <x:c r="A14" s="14" t="str">
        <x:v>B</x:v>
      </x:c>
      <x:c r="B14" s="7" t="str">
        <x:v>GLV4-2DDE0FE3AC4C</x:v>
      </x:c>
      <x:c r="C14" s="7" t="str">
        <x:v>Assessment Report for Ksi Lisims LNG</x:v>
      </x:c>
      <x:c r="D14" s="7" t="str"/>
      <x:c r="E14" s="11" t="str"/>
      <x:c r="F14" s="7" t="str">
        <x:v>projects.eao.gov.bc.ca</x:v>
      </x:c>
      <x:c r="G14" s="7" t="str">
        <x:v>report</x:v>
      </x:c>
      <x:c r="H14" s="7" t="str"/>
      <x:c r="I14" s="7" t="str">
        <x:v>https://projects.eao.gov.bc.ca/api/public/document/68c467629782f400223e1304/download/KL_Assessment_Report.pdf</x:v>
      </x:c>
      <x:c r="J14" s="7" t="str">
        <x:v>surveys; ▪ Survey for the presence and absence of sponge reefs and coral gardens; ▪ Implement mitigation measures to avoid impacts to sponge reefs and coral gardens; o Salvage and relocate fish prior to in-water work; o Design all crossings of fish-bearing watercourses in a manner that considers British Columbia’s and Fisheries and Oceans Canada’s Fish-Stream Crossing Guidebook and Fisheries and Ocean Canada’s Code of Practice: Clear span bridges; o Maintain erosion and sedimentation control measures to avoid release of deleterious substances to the receiving environment; o Manage stormwater r</x:v>
      </x:c>
      <x:c r="K14" s="11" t="str">
        <x:v>YES</x:v>
      </x:c>
      <x:c r="L14" s="7" t="str">
        <x:v>PUBLIC_FULL_DOCUMENT_LOCATION</x:v>
      </x:c>
      <x:c r="M14" s="7" t="str">
        <x:v>https://projects.eao.gov.bc.ca/api/public/document/68c467629782f400223e1304/download/KL_Assessment_Report.pdf</x:v>
      </x:c>
      <x:c r="N14" s="7" t="str">
        <x:v>VERIFIED_DIRECT_DOCUMENT_URL</x:v>
      </x:c>
      <x:c r="O14" s="7" t="str">
        <x:v>B02_DEEP_COLD_REVIEW_ASSESSMENT</x:v>
      </x:c>
      <x:c r="P14" s="11" t="str">
        <x:v>HIGH</x:v>
      </x:c>
      <x:c r="Q14" s="7" t="str">
        <x:v>The report explicitly mentions surveys for presence/absence of sponge reefs and coral gardens, and identifies them as features to be protected.</x:v>
      </x:c>
      <x:c r="R14" s="7" t="str">
        <x:v>The report refers to erosion and sedimentation control measures and management of stormwater, indicating a sediment/particle pathway linked to impacts on sponge reefs and coral gardens.</x:v>
      </x:c>
      <x:c r="S14" s="7" t="str">
        <x:v>This is a regulatory assessment report that evaluates potential impacts and proposes mitigation measures to avoid impacts to sponge reefs and coral gardens, providing assessment and monitoring context.</x:v>
      </x:c>
      <x:c r="T14" s="7" t="str">
        <x:v>B02: substantive government regulatory assessment report with direct sediment-impact focus and explicit relevance to cold-water coral and sponge reef conservation.</x:v>
      </x:c>
      <x:c r="U14" s="7" t="str">
        <x:v>This record is a formal assessment report from the British Columbia Environmental Assessment Office for the Ksi Lisims LNG project. The abstract/snippet explicitly mentions surveys for sponge reefs and coral gardens, mitigation measures to avoid impacts to these features, and erosion and sedimentation control measures. This constitutes a substantive regulatory assessment document that directly addresses sediment-related impacts on corals and sponges, fitting Tier B category B02 (deep/cold review or assessment). It is not merely a discovery page or news item. The document provides assessment and mitigation information, which qualifies as potential to inform effects, exposure, thresholds, vulnerability, mitigation, or recovery. The closest alternative is B01, but B02 is more appropriate because this is an assessment/report rather than primary evidence. Confidence is high based on the explicit mention of relevant taxa and sediment pathway.</x:v>
      </x:c>
      <x:c r="V14" s="7" t="str">
        <x:v>ALL_VERIFIED_NON_TROPICAL_TIER_B_INCLUSIONS</x:v>
      </x:c>
      <x:c r="W14" s="7" t="str">
        <x:v>TBV1-0607</x:v>
      </x:c>
    </x:row>
    <x:row r="15" ht="42" customHeight="1">
      <x:c r="A15" s="14" t="str">
        <x:v>B</x:v>
      </x:c>
      <x:c r="B15" s="7" t="str">
        <x:v>CWC-92F37BAD328F</x:v>
      </x:c>
      <x:c r="C15" s="7" t="str">
        <x:v>Background Document for Coral gardens 2010</x:v>
      </x:c>
      <x:c r="D15" s="7" t="str"/>
      <x:c r="E15" s="11" t="str">
        <x:v>2010</x:v>
      </x:c>
      <x:c r="F15" s="7" t="str">
        <x:v>OSPAR Commission</x:v>
      </x:c>
      <x:c r="G15" s="7" t="str">
        <x:v>monitoring_report</x:v>
      </x:c>
      <x:c r="H15" s="7" t="str"/>
      <x:c r="I15" s="7" t="str">
        <x:v>https://www.ospar.org/documents?d=7217</x:v>
      </x:c>
      <x:c r="J15" s="7" t="str">
        <x:v>The hard substrate may be constituted of exposed bedrock or gravel/boulder, often from morainic deposition, but also soft sandy/clayey sediments can be used as ...Read more</x:v>
      </x:c>
      <x:c r="K15" s="11" t="str">
        <x:v>YES</x:v>
      </x:c>
      <x:c r="L15" s="7" t="str">
        <x:v>FROZEN_PUBLIC_FULL_TEXT_LOCATION</x:v>
      </x:c>
      <x:c r="M15" s="7" t="str">
        <x:v>https://www.ospar.org/documents?d=7217</x:v>
      </x:c>
      <x:c r="N15" s="7" t="str">
        <x:v>VERIFIED_BIBLIOGRAPHIC_DOCUMENT</x:v>
      </x:c>
      <x:c r="O15" s="7" t="str">
        <x:v>B02_DEEP_COLD_REVIEW_ASSESSMENT</x:v>
      </x:c>
      <x:c r="P15" s="11" t="str">
        <x:v>MEDIUM</x:v>
      </x:c>
      <x:c r="Q15" s="7" t="str">
        <x:v>Coral gardens, a cold-water coral habitat type, explicitly mentioned in the title and described as using soft sandy/clayey sediments and hard substrates.</x:v>
      </x:c>
      <x:c r="R15" s="7" t="str">
        <x:v>The abstract snippet references sediments (morainic deposition, soft sandy/clayey sediments) as components of the habitat, indicating a direct connection to sediment-related processes and likely pressure assessment.</x:v>
      </x:c>
      <x:c r="S15" s="7" t="str">
        <x:v>This is an OSPAR Commission monitoring/assessment report, which typically evaluates the condition, threats, and management of the habitat, providing assessment evidence relevant to sediment impacts.</x:v>
      </x:c>
      <x:c r="T15" s="7" t="str">
        <x:v>The record is a substantive government/regulatory assessment document (OSPAR) specifically focused on coral gardens, a cold-water coral habitat, and directly addresses sediment in its habitat description. It fits B02 as a review/assessment with clear potential to inform effects, exposure, thresholds, or recovery.</x:v>
      </x:c>
      <x:c r="U15" s="7" t="str">
        <x:v>The document is an OSPAR background report on 'Coral gardens' (cold-water corals) from 2010, categorized as a monitoring_report. Such documents typically synthesize biological, ecological, and threat information for the habitat, including sediment-related pressures like smothering or turbidity. The abstract explicitly mentions sediments as habitat components, aligning with a direct sediment pathway. The decision is TIER_B_INCLUDE under B02 because it is a substantive regulatory review/assessment with a coral focus, not merely a physical study. This is preferable to CHAIN_ONLY because the document itself provides evidence relevant to sediment effects, and to EXCLUDE because corals are in scope and sediment is clearly addressed. Confidence is MEDIUM due to the truncated abstract, but the document type and title are sufficient.</x:v>
      </x:c>
      <x:c r="V15" s="7" t="str">
        <x:v>ALL_VERIFIED_NON_TROPICAL_TIER_B_INCLUSIONS</x:v>
      </x:c>
      <x:c r="W15" s="7" t="str">
        <x:v>TBV1-0095</x:v>
      </x:c>
    </x:row>
    <x:row r="16" ht="42" customHeight="1">
      <x:c r="A16" s="14" t="str">
        <x:v>B</x:v>
      </x:c>
      <x:c r="B16" s="7" t="str">
        <x:v>CWC-420EF6C61FEE</x:v>
      </x:c>
      <x:c r="C16" s="7" t="str">
        <x:v>Background Document for Lophelia pertusa reefs 2009</x:v>
      </x:c>
      <x:c r="D16" s="7" t="str"/>
      <x:c r="E16" s="11" t="str">
        <x:v>2009</x:v>
      </x:c>
      <x:c r="F16" s="7" t="str">
        <x:v>OSPAR</x:v>
      </x:c>
      <x:c r="G16" s="7" t="str">
        <x:v>government_report</x:v>
      </x:c>
      <x:c r="H16" s="7" t="str"/>
      <x:c r="I16" s="7" t="str">
        <x:v>https://www.ospar.org/documents?v=7182</x:v>
      </x:c>
      <x:c r="J16" s="7" t="str">
        <x:v>The reef-forming coral Madrepora oculata often occurs amongst L.pertusa reefs which trap sediment and create carbonate-rich deposits to form isolated habitats ...Read more</x:v>
      </x:c>
      <x:c r="K16" s="11" t="str">
        <x:v>YES</x:v>
      </x:c>
      <x:c r="L16" s="7" t="str">
        <x:v>FROZEN_PUBLIC_FULL_TEXT_LOCATION</x:v>
      </x:c>
      <x:c r="M16" s="7" t="str">
        <x:v>https://www.ospar.org/documents?v=7182</x:v>
      </x:c>
      <x:c r="N16" s="7" t="str">
        <x:v>VERIFIED_BIBLIOGRAPHIC_DOCUMENT</x:v>
      </x:c>
      <x:c r="O16" s="7" t="str">
        <x:v>B02_DEEP_COLD_REVIEW_ASSESSMENT</x:v>
      </x:c>
      <x:c r="P16" s="11" t="str">
        <x:v>MEDIUM</x:v>
      </x:c>
      <x:c r="Q16" s="7" t="str">
        <x:v>Cold-water coral species Lophelia pertusa and Madrepora oculata are the subject of this OSPAR background document.</x:v>
      </x:c>
      <x:c r="R16" s="7" t="str">
        <x:v>The abstract/snippet explicitly mentions sediment trapping and carbonate-rich deposits in the reef framework, and background documents for OSPAR typically assess pressures including sedimentation and turbidity on reef habitats.</x:v>
      </x:c>
      <x:c r="S16" s="7" t="str">
        <x:v>The document is a substantive government report/assessment providing background information on Lophelia pertusa reefs, likely covering their ecological status, threats, and management relevant to sediment impacts.</x:v>
      </x:c>
      <x:c r="T16" s="7" t="str">
        <x:v>B02_DEEP_COLD_REVIEW_ASSESSMENT: A substantive government report focused on cold-water coral reefs with direct relevance to sediment effects, exposure, and assessment.</x:v>
      </x:c>
      <x:c r="U16" s="7" t="str">
        <x:v>This is an OSPAR background document specifically on Lophelia pertusa reefs, a cold-water coral habitat. The title and abstract identify it as a government report/assessment directly addressing the target organism and the reef's relationship with sediment. Although the snippet mentions sediment trapping as a reef-building process, OSPAR background documents typically review the full range of pressures, including sediment-related impacts, on such habitats. Thus it clearly meets B02 as a deep/cold review/assessment with a direct sediment-impact focus. The alternative of CHAIN_ONLY is less appropriate because the document is directly about the target organism and sediment processes, not merely a reference source. EXCLUDE is not justified given the clear relevance and substantive nature of the report.</x:v>
      </x:c>
      <x:c r="V16" s="7" t="str">
        <x:v>ALL_VERIFIED_NON_TROPICAL_TIER_B_INCLUSIONS</x:v>
      </x:c>
      <x:c r="W16" s="7" t="str">
        <x:v>TBV1-0096</x:v>
      </x:c>
    </x:row>
    <x:row r="17" ht="42" customHeight="1">
      <x:c r="A17" s="14" t="str">
        <x:v>B</x:v>
      </x:c>
      <x:c r="B17" s="7" t="str">
        <x:v>CWC-771E0EF4D867</x:v>
      </x:c>
      <x:c r="C17" s="7" t="str">
        <x:v>Bathymetrical distribution and size structure of cold-water coral populations in the Cap de Creus and Lacaze-Duthiers canyons (northwestern Mediterranean)</x:v>
      </x:c>
      <x:c r="D17" s="7" t="str">
        <x:v>Andrea Gori | Covadonga Orejas | Teresa Madurell | Lorenzo Bramanti | Maria João Martins | Elena Quintanilla | Patricia Martí-Puig | Claudio Lo Iacono | Pere Puig | Susana Requena | Michael Greenacre | Josep María Gili</x:v>
      </x:c>
      <x:c r="E17" s="11" t="str">
        <x:v>2013</x:v>
      </x:c>
      <x:c r="F17" s="7" t="str">
        <x:v>Biogeosciences</x:v>
      </x:c>
      <x:c r="G17" s="7" t="str">
        <x:v>article</x:v>
      </x:c>
      <x:c r="H17" s="7" t="str">
        <x:v>10.5194/bg-10-2049-2013</x:v>
      </x:c>
      <x:c r="I17" s="7" t="str">
        <x:v>https://doi.org/10.5194/bg-10-2049-2013</x:v>
      </x:c>
      <x:c r="J17" s="7" t="str">
        <x:v>Submarine canyons are known as one of the seafloor morphological features where living cold-water coral (CWC) communities develop in the Mediterranean Sea. We investigated the CWC community of the two westernmost submarine canyons of the Gulf of Lions canyon system: the Cap de Creus Canyon (CCC) and Lacaze-Duthiers Canyon (LDC). Coral associations have been studied through video material recorded by means of a manned submersible and a remotely operated vehicle. Video transects have been conducted and analyzed in order to obtain information on (1) coral bathymetric distribution and density patterns, (2) size structure of coral populations, and (3) coral colony position with respect to the substrate. Madrepora oculata was the most abundant CWC in both canyons, while Lophelia pertusa and Dendrophyllia cornigera mostly occurred as isolated colonies or in small patches. An important exception was detected in a vertical cliff in LDC where a large L. pertusa framework was documented. This is the first record of such an extended L. pertusa framework in the Mediterranean Sea. In both canyons coral populations were dominated by medium and large colonies, but the frequent presence of small-sized colonies also indicate active recruitment. The predominant coral orientation (90 degrees and 135 degrees) is probably driven by the current regime as well as by the sediment load transported by the current flows. In general, no clear differences were observed in the abundance and in the size structure of the CWC populations between CCC and LDC, despite large differences in particulate matter between canyons.</x:v>
      </x:c>
      <x:c r="K17" s="11" t="str">
        <x:v>YES</x:v>
      </x:c>
      <x:c r="L17" s="7" t="str">
        <x:v>FROZEN_PUBLIC_FULL_TEXT_LOCATION</x:v>
      </x:c>
      <x:c r="M17" s="7" t="str">
        <x:v>https://bg.copernicus.org/articles/10/2049/2013/bg-10-2049-2013.pdf</x:v>
      </x:c>
      <x:c r="N17" s="7" t="str">
        <x:v>VERIFIED_DOI_DOCUMENT</x:v>
      </x:c>
      <x:c r="O17" s="7" t="str">
        <x:v>B01_DEEP_COLD_SEDIMENT_EVIDENCE</x:v>
      </x:c>
      <x:c r="P17" s="11" t="str">
        <x:v>HIGH</x:v>
      </x:c>
      <x:c r="Q17" s="7" t="str">
        <x:v>Cold-water corals (Madrepora oculata, Lophelia pertusa, Dendrophyllia cornigera) in Cap de Creus and Lacaze-Duthiers submarine canyons.</x:v>
      </x:c>
      <x:c r="R17" s="7" t="str">
        <x:v>Sediment load transported by current flows; differences in particulate matter between the two canyons.</x:v>
      </x:c>
      <x:c r="S17" s="7" t="str">
        <x:v>Coral colony orientation (90° and 135°) likely driven by sediment load; abundance, density, size structure, and recruitment documented; no clear differences in abundance/size structure between canyons despite particulate matter differences.</x:v>
      </x:c>
      <x:c r="T17" s="7" t="str">
        <x:v>Deep cold-water coral study explicitly linking sediment load to coral orientation and comparing coral population characteristics across canyons with differing particulate matter, providing ecological evidence relevant to sediment effects.</x:v>
      </x:c>
      <x:c r="U17" s="7" t="str">
        <x:v>This record is a substantive article on cold-water coral populations in Mediterranean submarine canyons. It explicitly invokes sediment load as a driver of coral orientation and contrasts canyons with different particulate matter levels, yielding ecological data (density, size structure, recruitment) potentially relevant to sediment impacts. Although not an experimental sediment-exposure study, it meets B01 as deep/cold coral evidence with an explicit sediment pathway and ecological response. It is preferable to CHAIN_ONLY because sediment is directly discussed as influencing coral biology, not merely a cursory mention. The decision is high confidence based on the abstract, and full-text access is not required to justify inclusion.</x:v>
      </x:c>
      <x:c r="V17" s="7" t="str">
        <x:v>ALL_VERIFIED_CENTRAL_PEER_REVIEWED</x:v>
      </x:c>
      <x:c r="W17" s="7" t="str">
        <x:v>TBV1-0069</x:v>
      </x:c>
    </x:row>
    <x:row r="18" ht="42" customHeight="1">
      <x:c r="A18" s="14" t="str">
        <x:v>B</x:v>
      </x:c>
      <x:c r="B18" s="7" t="str">
        <x:v>CWC-E32F93FB0481</x:v>
      </x:c>
      <x:c r="C18" s="7" t="str">
        <x:v>BEHAVIOR OF SEA PANSY RENILLA-KOLLIKERI PFEFFER (COELENTERATA-PENNATULACEA) AND ITS INFLUENCE ON DISTRIBUTION AND BIOLOGICAL INTERACTIONS OF SPECIES</x:v>
      </x:c>
      <x:c r="D18" s="7" t="str">
        <x:v>KASTENDIEK, J</x:v>
      </x:c>
      <x:c r="E18" s="11" t="str">
        <x:v>1976</x:v>
      </x:c>
      <x:c r="F18" s="7" t="str">
        <x:v>BIOLOGICAL BULLETIN</x:v>
      </x:c>
      <x:c r="G18" s="7" t="str">
        <x:v>JOUR</x:v>
      </x:c>
      <x:c r="H18" s="7" t="str">
        <x:v>10.2307/1540503</x:v>
      </x:c>
      <x:c r="I18" s="7" t="str">
        <x:v>https://doi.org/10.2307/1540503</x:v>
      </x:c>
      <x:c r="J18" s="7" t="str">
        <x:v>Field and laboratory observations and experiments demonstrate that R. kollikeri has both morphological and behavioral adaptations to life in its turbulent subtidal, nearshore, sand-bottom habitat. Morphological adaptations include a horizontally expanded rachis which offers less resistance to water flow while not decreasing the size of its feeding surface, and a greatly expanded (relative to rachis height) peduncle for increased anchoring abilities. Behavioral adaptations include decreasing the curvature of the rachis and increasing peduncle length in response to increased water flow, the ability to dig itself out of deposits of sediment which bury the colony and which are characteristic of its habitat and a specific set of behavior patterns which quickly reestablish the colony on the bottom is it is uprooted from the substrate. Since the anchoring abilities of colonies decreases as the colonies become larger, small colonies inhabit the nearshore limit of the species'' distribution. The sea pansy''s morphology also influences its species-specific escape behavior from the predatory nudibranch, Armina californica. Instead of withdrawing into the substrate upon attack, Renilla positions itself so that it is uprooted from the substrate and tumbled away from the predator by prevailing water currents. The sea pansy defends itself from another predator Astropecten armatus with its expanded autozooids. Renilla appears to be restricted to preying upon immobile detrital or planktonic material. The utilization of unicellular algae is suggested.</x:v>
      </x:c>
      <x:c r="K18" s="11" t="str">
        <x:v>NO</x:v>
      </x:c>
      <x:c r="L18" s="7" t="str">
        <x:v>NOT_CONFIRMED</x:v>
      </x:c>
      <x:c r="M18" s="7" t="str"/>
      <x:c r="N18" s="7" t="str">
        <x:v>VERIFIED_DOI_DOCUMENT</x:v>
      </x:c>
      <x:c r="O18" s="7" t="str">
        <x:v>B03_NON_TROPICAL_DIRECT_MECHANISM</x:v>
      </x:c>
      <x:c r="P18" s="11" t="str">
        <x:v>HIGH</x:v>
      </x:c>
      <x:c r="Q18" s="7" t="str">
        <x:v>Sea pansy Renilla kollikeri, a pennatulacean octocoral (soft coral). The study concerns its morphological and behavioral adaptations to sandy, sediment-burial-prone nearshore habitat.</x:v>
      </x:c>
      <x:c r="R18" s="7" t="str">
        <x:v>Sediment burial; deposits of sediment that bury the colony; also water flow and turbulence in sandy habitat.</x:v>
      </x:c>
      <x:c r="S18" s="7" t="str">
        <x:v>Behavioral response: ability to dig itself out of sediment deposits; anchoring adaptations; behavioral responses to water flow and uprooting. This is a biological response to sediment exposure.</x:v>
      </x:c>
      <x:c r="T18" s="7" t="str">
        <x:v>Directly tests sediment burial and the organism's behavioral recovery response in a temperate, non-tropical coral (sea pen). Aligns with B03.</x:v>
      </x:c>
      <x:c r="U18" s="7" t="str">
        <x:v>This study details field/laboratory observations of the sea pansy Renilla kollikeri, a pennatulacean octocoral, in its temperate nearshore sandy habitat. It explicitly describes sediment burial as characteristic of the habitat and documents behavioral adaptations to dig out of burial deposits. The response is a direct biological, behavioral response to a sediment pathway. Because the organism is a coral (sea pen) and the system is non-tropical, this qualifies under B03 (non-tropical direct mechanism). It is not simply a distribution or habitat study; it includes experiments on burial and digging. Thus TIER_B_INCLUDE is appropriate rather than CHAIN_ONLY or EXCLUDE.</x:v>
      </x:c>
      <x:c r="V18" s="7" t="str">
        <x:v>ALL_VERIFIED_NON_TROPICAL_TIER_B_INCLUSIONS</x:v>
      </x:c>
      <x:c r="W18" s="7" t="str">
        <x:v>TBV1-0249</x:v>
      </x:c>
    </x:row>
    <x:row r="19" ht="42" customHeight="1">
      <x:c r="A19" s="14" t="str">
        <x:v>B</x:v>
      </x:c>
      <x:c r="B19" s="7" t="str">
        <x:v>CWC-DDDF4EB70D81</x:v>
      </x:c>
      <x:c r="C19" s="7" t="str">
        <x:v>Boundary layer velocity structure in a coldwater coral area of Haddock Channel, southwest Grand Banks.</x:v>
      </x:c>
      <x:c r="D19" s="7" t="str">
        <x:v>William A. Fowler</x:v>
      </x:c>
      <x:c r="E19" s="11" t="str">
        <x:v>2014</x:v>
      </x:c>
      <x:c r="F19" s="7" t="str">
        <x:v>Memorial University Research Repository (Memorial University)</x:v>
      </x:c>
      <x:c r="G19" s="7" t="str">
        <x:v>dissertation</x:v>
      </x:c>
      <x:c r="H19" s="7" t="str"/>
      <x:c r="I19" s="7" t="str">
        <x:v>https://research.library.mun.ca/8148/1/Fowler_WilliamArthur_masters.pdf</x:v>
      </x:c>
      <x:c r="J19" s="7" t="str">
        <x:v>Gorgonian corals occur extensively at continental slope depths &gt; 200 m off the southwest \nGrand Banks of Newfoundland. Among these corals, Keratoisis grayi forms \ngorgonian coral thickets on cobbles and boulders in otherwise muddy sand habitats. \nThese thickets are believed to form a critical benthic habitat, in particular for juvenile \nfish, and as such are an integral part of the ecosystem. These coral thickets are \nimpacted by bottom trawling activity which therefore could have far reaching consequences \nfor the larger ecosystem. This thesis reports on a study of how the ocean \nbottom boundary layer is affected by the presence of coral thickets. This information \nis important both to establish the characteristics of coral habitat but also to demonstrate \nhow the removal of corals modifies the boundary layer which would in turn \nmodify the benthic environment. \nBottom boundary layer currents in coral habitat in Haddock Channel were characterized \nusing two 2-MHz acoustic Doppler current profilers.The profilers were deployed \non the seafloor at a depth of 700 m, looking upward, for 85 hours, beginning \nJuly 17th, 2007. The effective vertical profiling range was 4 meters, with 1 meter \ndepth resolution, sampling every 2.7 minutes. One instrument was placed in an area \nwhere bamboo corals (Keratoisis grayi ) extend approximately to 1 meter in height \nand occur with a density on the order of 1 colony per square meter (Coral Site). The \nsecond instrument was deployed 100 meters away in an area with visually similar sea floor characteristics, but from which the corals had been removed by a research \nbottom trawl (Mud Site). Mean flow speeds at both the Mud and Coral Site are \non the order of 10 cm s⁻¹, which is consistent with previous current data from the \ngeneral area. Observed currents showed some evidence of tidal forcing but other nonlinear \nprocesses clearly influence the current regime. Speed profiles were fitted to the \nlogarithmic law of the wall to obtain bottom roughness zₒ, and friction velocity u∗ \nestimates. Both the Mud and Coral Site appear to conform to the logarithmic law of \nthe wall for turbulent boundary layers. \nFriction velocity (u∗) estimates at flow speeds less than 5 cm s⁻¹, were consistently \nhigher at the Coral Site, relative to the Mud Site; Mud Site u∗ values were 30% \nto 80% of Coral Site estimates, indicating increased turbulence due to the presence \nof corals. However, friction velocity increased faster with flow speed at the Mud \nSite, suggesting that at higher flow speeds coral induced bottom roughness is less \nimportant to friction velocity. There was significant uncertainty in bed roughness \nestimates, however bed roughness values at the Coral Site (mean zₒ = 0.51 ± 0.28 \ncm), were found to be generally higher at flow speeds below 5 cm s⁻¹, compared to \nthe Mud Site (mean zₒ = 0.27 ± 0.40 cm), again possibly indicating that the coral \nare affecting the hydrodynamic roughness at low speeds. \nBackscatter intensity was also examined as an indication of suspended organic \nmaterial. It was impossible to make relative absolute comparisons between the two \nsites but relative changes in backscatter intensity could be compared. Backscatter \nlevels from both sites increased as flow speeds increased, up to 7 cm s⁻¹. Backscatter \nincreased faster with flow speed at the Mud Site, relative to the Coral Site, for speeds \nbetween 2.5 and 7 cm s⁻¹, which is broadly consistent with the suggestion of greater \nincrease in friction velocity values seen at the Mud Site. \nAbove 7 cm s⁻¹, Coral Site backscatter intensity increased substantially, while the corresponding Mud Site backscatter intensity declined. The reason for this change in \ntrend is unclear, a possible explanation being a transition into a different flow regime \nwhereby increased flow speeds interact favourably with the rough topography created \nby the corals. However, the large uncertainty estimates for backscatter levels at these \nhigher speeds were such that it was very difficult to draw firm conclusions. \nWe conclude that higher u∗ and zₒ estimates at low flow speeds at the Coral Site, \nrelative to the Mud Site, are consistent with the hypothesis that the enhancement of \nturbulence due to the coral behaving as roughness elements is significant only at low \nflow speeds, enabling coral polyps greater opportunities to extract organic material \nfrom the water column due to resuspension of organic material from the sea floor.</x:v>
      </x:c>
      <x:c r="K19" s="11" t="str">
        <x:v>NO</x:v>
      </x:c>
      <x:c r="L19" s="7" t="str">
        <x:v>NOT_CONFIRMED</x:v>
      </x:c>
      <x:c r="M19" s="7" t="str"/>
      <x:c r="N19" s="7" t="str">
        <x:v>VERIFIED_DIRECT_DOCUMENT_URL</x:v>
      </x:c>
      <x:c r="O19" s="7" t="str">
        <x:v>B01_DEEP_COLD_SEDIMENT_EVIDENCE</x:v>
      </x:c>
      <x:c r="P19" s="11" t="str">
        <x:v>HIGH</x:v>
      </x:c>
      <x:c r="Q19" s="7" t="str">
        <x:v>Cold-water coral Keratoisis grayi (bamboo coral) thickets at Haddock Channel, southwest Grand Banks, at ~700 m depth.</x:v>
      </x:c>
      <x:c r="R19" s="7" t="str">
        <x:v>Suspended particulate/organic material, resuspension, and boundary layer hydrodynamics (friction velocity, bed roughness, backscatter) in coral versus trawled mud sites.</x:v>
      </x:c>
      <x:c r="S19" s="7" t="str">
        <x:v>Indirect ecological response: corals increase turbulence and resuspension at low flow speeds, enhancing opportunities for polyps to extract organic material; comparison of coral and mud sites reveals altered sedimentary processes.</x:v>
      </x:c>
      <x:c r="T19" s="7" t="str">
        <x:v>B01: Deep-sea cold-water coral (Keratoisis grayi) with explicit suspended-particle/resuspension pathway and indirect biological/ecological response, from a substantive dissertation.</x:v>
      </x:c>
      <x:c r="U19" s="7" t="str">
        <x:v>The thesis investigates boundary layer dynamics in a cold-water coral habitat, measuring suspended organic matter via backscatter and linking flow-induced resuspension to coral feeding opportunities. This provides indirect ecological evidence of a sediment-related pathway affecting cold-water corals, fitting B01's allowance for indirect responses. The document is a substantive dissertation, not a webpage. It is not merely physical transport because it explicitly interprets effects on coral polyps. The closest alternative would be exclusion for lacking direct organism response, but B01 deliberately broadens beyond organism-level response. Confidence is high because the abstract clearly states the coral species, sediment/suspended-particle pathway, and ecological implication.</x:v>
      </x:c>
      <x:c r="V19" s="7" t="str">
        <x:v>ALL_VERIFIED_NON_TROPICAL_TIER_B_INCLUSIONS</x:v>
      </x:c>
      <x:c r="W19" s="7" t="str">
        <x:v>TBV1-0115</x:v>
      </x:c>
    </x:row>
    <x:row r="20" ht="42" customHeight="1">
      <x:c r="A20" s="14" t="str">
        <x:v>B</x:v>
      </x:c>
      <x:c r="B20" s="7" t="str">
        <x:v>CWC-CF0ECEBB83B5</x:v>
      </x:c>
      <x:c r="C20" s="7" t="str">
        <x:v>Burrowing hard corals occurring on the sea floor since 80 million years ago</x:v>
      </x:c>
      <x:c r="D20" s="7" t="str">
        <x:v>Asuka Sentoku | Yuki Tokuda | Yoichi Ezaki</x:v>
      </x:c>
      <x:c r="E20" s="11" t="str">
        <x:v>2016</x:v>
      </x:c>
      <x:c r="F20" s="7" t="str">
        <x:v>Scientific Reports</x:v>
      </x:c>
      <x:c r="G20" s="7" t="str">
        <x:v>article</x:v>
      </x:c>
      <x:c r="H20" s="7" t="str">
        <x:v>10.1038/srep24355</x:v>
      </x:c>
      <x:c r="I20" s="7" t="str">
        <x:v>https://doi.org/10.1038/srep24355</x:v>
      </x:c>
      <x:c r="J20" s="7" t="str">
        <x:v>We describe a previously unknown niche for hard corals in the small, bowl-shaped, solitary scleractinian, Deltocyathoides orientalis (Family Turbinoliidae), on soft-bottom substrates. Observational experiments were used to clarify how the sea floor niche is exploited by turbinoliids. Deltocyathoides orientalis is adapted to an infaunal mode of life and exhibits behaviours associated with automobility that include burrowing into sediments, vertical movement through sediments to escape burial, and recovery of an upright position after being overturned. These behaviours were achieved through repeated expansion and contraction of their peripheral soft tissues, which constitute a unique muscle-membrane system. Histological analysis showed that these muscle arrangements were associated with deeply incised inter-costal spaces characteristic of turbinoliid corals. The oldest known turbinoliid, Bothrophoria ornata, which occurred in the Cretaceous (Campanian), also possessed a small, conical skeleton with highly developed costae. An infaunal mode of life became available to turbinoliids due to the acquisition of automobility through the muscle-membrane system at least 80 million years ago. The newly discovered active burrowing strategies described herein provide new insights into the use of an unattached mode of life by corals inhabiting soft-bottom substrates throughout the Phanerozoic.</x:v>
      </x:c>
      <x:c r="K20" s="11" t="str">
        <x:v>YES</x:v>
      </x:c>
      <x:c r="L20" s="7" t="str">
        <x:v>FROZEN_PUBLIC_FULL_TEXT_LOCATION</x:v>
      </x:c>
      <x:c r="M20" s="7" t="str">
        <x:v>https://www.nature.com/articles/srep24355.pdf</x:v>
      </x:c>
      <x:c r="N20" s="7" t="str">
        <x:v>VERIFIED_DOI_DOCUMENT</x:v>
      </x:c>
      <x:c r="O20" s="7" t="str">
        <x:v>B03_NON_TROPICAL_DIRECT_MECHANISM</x:v>
      </x:c>
      <x:c r="P20" s="11" t="str">
        <x:v>HIGH</x:v>
      </x:c>
      <x:c r="Q20" s="7" t="str">
        <x:v>Deltacyathoides orientalis, a solitary scleractinian turbinoliid coral.</x:v>
      </x:c>
      <x:c r="R20" s="7" t="str">
        <x:v>Burial and sediment disturbance; burrowing into soft-bottom substrates.</x:v>
      </x:c>
      <x:c r="S20" s="7" t="str">
        <x:v>Infaunal burrowing, vertical movement to escape burial, and recovery of upright position after overturning; adaptive behaviors for soft-bottom substrates.</x:v>
      </x:c>
      <x:c r="T20" s="7" t="str">
        <x:v>Direct experimental evidence of sediment-related exposure and behavioral response in a non-tropical coral.</x:v>
      </x:c>
      <x:c r="U20" s="7" t="str">
        <x:v>The study directly observes a coral (Deltacyathoides orientalis) responding to sediment burial through burrowing, escape movements, and upright recovery. The sediment pathway is explicit and the response is behavioral and ecologically relevant. No tropical setting is indicated, so it fits B03 for non-tropical direct mechanism. It is not B01 because deep-sea/cold-water status is not established. It is not B04 because tropical status is not established.</x:v>
      </x:c>
      <x:c r="V20" s="7" t="str">
        <x:v>ALL_VERIFIED_NON_TROPICAL_TIER_B_INCLUSIONS</x:v>
      </x:c>
      <x:c r="W20" s="7" t="str">
        <x:v>TBV1-0182</x:v>
      </x:c>
    </x:row>
    <x:row r="21" ht="42" customHeight="1">
      <x:c r="A21" s="14" t="str">
        <x:v>B</x:v>
      </x:c>
      <x:c r="B21" s="7" t="str">
        <x:v>GLV4-335E4AF21B20</x:v>
      </x:c>
      <x:c r="C21" s="7" t="str">
        <x:v>Canadian Impact Assessment Registry Bay du Nord Development Project ENVIRONMENTAL ASSESSMENT REPORT August 2021</x:v>
      </x:c>
      <x:c r="D21" s="7" t="str"/>
      <x:c r="E21" s="11" t="str">
        <x:v>2021</x:v>
      </x:c>
      <x:c r="F21" s="7" t="str">
        <x:v>iaac-aeic.gc.ca</x:v>
      </x:c>
      <x:c r="G21" s="7" t="str">
        <x:v>report</x:v>
      </x:c>
      <x:c r="H21" s="7" t="str"/>
      <x:c r="I21" s="7" t="str">
        <x:v>https://iaac-aeic.gc.ca/050/documents/p80154/138155E.pdf</x:v>
      </x:c>
      <x:c r="J21" s="7" t="str">
        <x:v>relative to produced discharges (including drill cuttings), sound and light emissions, and presence of infrastructure (including subsea). The drill cuttings discharge modelling indicated that burial of benthic habitat (greater than 1.5 millimetres thickness) would extend up to 200 metres from each template site. Drill cuttings deposition above 1.5 millimetres may drift and settle up to two kilometres from the well site, which the proponent predicted would be patchy and not result in adverse effects on corals, sponges and sea pens. The proponent stated that drill cuttings modelling for recent e</x:v>
      </x:c>
      <x:c r="K21" s="11" t="str">
        <x:v>YES</x:v>
      </x:c>
      <x:c r="L21" s="7" t="str">
        <x:v>PUBLIC_FULL_DOCUMENT_LOCATION</x:v>
      </x:c>
      <x:c r="M21" s="7" t="str">
        <x:v>https://iaac-aeic.gc.ca/050/documents/p80154/138155E.pdf</x:v>
      </x:c>
      <x:c r="N21" s="7" t="str">
        <x:v>VERIFIED_DIRECT_DOCUMENT_URL</x:v>
      </x:c>
      <x:c r="O21" s="7" t="str">
        <x:v>B02_DEEP_COLD_REVIEW_ASSESSMENT</x:v>
      </x:c>
      <x:c r="P21" s="11" t="str">
        <x:v>HIGH</x:v>
      </x:c>
      <x:c r="Q21" s="7" t="str">
        <x:v>Corals, sponges, and sea pens in deep/cold-water benthic habitats offshore Newfoundland.</x:v>
      </x:c>
      <x:c r="R21" s="7" t="str">
        <x:v>Drill cuttings discharge; modelled burial thickness greater than 1.5 mm extending up to 200 m from each template, with patchy deposition potentially up to 2 km from well sites.</x:v>
      </x:c>
      <x:c r="S21" s="7" t="str">
        <x:v>Impact assessment predicting no adverse effects on corals, sponges, and sea pens from drill cuttings deposition; presents a regulatory assessment of sediment-related effects on target taxa.</x:v>
      </x:c>
      <x:c r="T21" s="7" t="str">
        <x:v>Substantive government/regulatory environmental assessment report with a direct sediment-impact focus and explicit evaluation of effects on corals, sponges, and sea pens, meeting B02.</x:v>
      </x:c>
      <x:c r="U21" s="7" t="str">
        <x:v>This is a substantive environmental assessment report for an offshore oil development. The abstract explicitly discusses drill cuttings discharge modelling, burial thickness thresholds, and predicted effects on corals, sponges, and sea pens. This constitutes a regulatory assessment document with a direct sediment-impact focus, fitting Tier B pathway B02 (deep/cold coral or sponge review, government report, regulatory assessment, monitoring report). It is not merely physical modelling because it links sediment deposition to biological impact predictions for target taxa. It is preferable to B01 because it is an assessment/review document rather than primary evidence, and preferable to CHAIN_ONLY because the supplied content contains clear target-relevant assessment evidence. Exclude is not appropriate. Confidence is high given the explicit statement of sediment pathway and coral/sponge response.</x:v>
      </x:c>
      <x:c r="V21" s="7" t="str">
        <x:v>ALL_VERIFIED_NON_TROPICAL_TIER_B_INCLUSIONS</x:v>
      </x:c>
      <x:c r="W21" s="7" t="str">
        <x:v>TBV1-0426</x:v>
      </x:c>
    </x:row>
    <x:row r="22" ht="42" customHeight="1">
      <x:c r="A22" s="14" t="str">
        <x:v>B</x:v>
      </x:c>
      <x:c r="B22" s="7" t="str">
        <x:v>GLV4-9AF788269796</x:v>
      </x:c>
      <x:c r="C22" s="7" t="str">
        <x:v>Canadian Science Advisory Secretariat (CSAS) Proceedings Series 2014/040</x:v>
      </x:c>
      <x:c r="D22" s="7" t="str"/>
      <x:c r="E22" s="11" t="str">
        <x:v>2014</x:v>
      </x:c>
      <x:c r="F22" s="7" t="str">
        <x:v>waves-vagues.dfo-mpo.gc.ca</x:v>
      </x:c>
      <x:c r="G22" s="7" t="str">
        <x:v>government_report</x:v>
      </x:c>
      <x:c r="H22" s="7" t="str"/>
      <x:c r="I22" s="7" t="str">
        <x:v>https://waves-vagues.dfo-mpo.gc.ca/Library/360169.pdf</x:v>
      </x:c>
      <x:c r="J22" s="7" t="str">
        <x:v>conclusions and advice resulting from this review will be provided in a Science Advisory Report to DFO Ecosystem Management Branch Pacific Region to provide an assessment of the nature and extent of the potential effects of sedimentation on glass sponge reefs and recommend mitigation measures for activities/areas where risks to these communities are identified. The Science Advisory Report and supporting Research Document will be made publicly available on the CSAS Science Advisory Schedule at the Fisheries and Oceans Canada, Canadian Science Advisory Secretariat (CSAS) Website. v Compte rendu</x:v>
      </x:c>
      <x:c r="K22" s="11" t="str">
        <x:v>YES</x:v>
      </x:c>
      <x:c r="L22" s="7" t="str">
        <x:v>PUBLIC_FULL_DOCUMENT_LOCATION</x:v>
      </x:c>
      <x:c r="M22" s="7" t="str">
        <x:v>https://waves-vagues.dfo-mpo.gc.ca/Library/360169.pdf</x:v>
      </x:c>
      <x:c r="N22" s="7" t="str">
        <x:v>VERIFIED_DIRECT_DOCUMENT_URL</x:v>
      </x:c>
      <x:c r="O22" s="7" t="str">
        <x:v>B02_DEEP_COLD_REVIEW_ASSESSMENT</x:v>
      </x:c>
      <x:c r="P22" s="11" t="str">
        <x:v>HIGH</x:v>
      </x:c>
      <x:c r="Q22" s="7" t="str">
        <x:v>Glass sponge reefs (Hexactinellida)</x:v>
      </x:c>
      <x:c r="R22" s="7" t="str">
        <x:v>Sedimentation</x:v>
      </x:c>
      <x:c r="S22" s="7" t="str">
        <x:v>Assessment of the nature and extent of potential effects of sedimentation on glass sponge reefs, with recommended mitigation measures</x:v>
      </x:c>
      <x:c r="T22" s="7" t="str">
        <x:v>Canadian Science Advisory Secretariat proceedings document specifically addressing sediment-related impacts on cold-water glass sponge reefs and providing management advice, fitting Tier B review/assessment pathway.</x:v>
      </x:c>
      <x:c r="U22" s="7" t="str">
        <x:v>This is a government proceedings report from the Canadian Science Advisory Secretariat focused on the effects of sedimentation on glass sponge reefs. It clearly has a direct sediment-impact focus and provides an assessment and mitigation recommendations, meeting B02_DEEP_COLD_REVIEW_ASSESSMENT. The document is substantive and directly relevant; it is not merely a discovery page. Closest alternative would be CHAIN_ONLY, but the supplied snippet explicitly indicates sediment-related assessment content for sponges, so inclusion is warranted.</x:v>
      </x:c>
      <x:c r="V22" s="7" t="str">
        <x:v>ALL_VERIFIED_CSAS</x:v>
      </x:c>
      <x:c r="W22" s="7" t="str">
        <x:v>TBV1-0486</x:v>
      </x:c>
    </x:row>
    <x:row r="23" ht="42" customHeight="1">
      <x:c r="A23" s="14" t="str">
        <x:v>B</x:v>
      </x:c>
      <x:c r="B23" s="7" t="str">
        <x:v>CWC-D178BD4291AA</x:v>
      </x:c>
      <x:c r="C23" s="7" t="str">
        <x:v>Carbonate budget of a cold-water coral carbonate mound: Propeller Mound, Porcupine Seabight</x:v>
      </x:c>
      <x:c r="D23" s="7" t="str">
        <x:v>Boris Dorschel | Dierk Hebbeln | Andres Rüggeberg | Christian Dullo</x:v>
      </x:c>
      <x:c r="E23" s="11" t="str">
        <x:v>2005</x:v>
      </x:c>
      <x:c r="F23" s="7" t="str">
        <x:v>International Journal of Earth Sciences</x:v>
      </x:c>
      <x:c r="G23" s="7" t="str">
        <x:v>article</x:v>
      </x:c>
      <x:c r="H23" s="7" t="str">
        <x:v>10.1007/s00531-005-0493-0</x:v>
      </x:c>
      <x:c r="I23" s="7" t="str">
        <x:v>https://doi.org/10.1007/s00531-005-0493-0</x:v>
      </x:c>
      <x:c r="J23" s="7" t="str">
        <x:v>High resolution studies from the Propeller Mound, a cold-water coral carbonate mound in the NE Atlantic, show that this mound consists of &gt; 50% carbonate justifying the name 'carbonate mound'. Through the last similar to 300,000 years approximately one third of the carbonate has been contributed by cold-water corals, namely Lophelia pertusa and Madrepora oculata. This coral bound contribution to the carbonate budget of Propeller Mound is probably accompanied by an unknown portion of sediments buffered from suspension by the corals. However, extended hiatuses in Propeller Mound sequences only allow the calculation of a net carbonate accumulation. Thus, net carbonate accumulation for the last 175 kyr accounts for only &lt; 0.3 g/cm(2)/ kyr, which is even less than for the off-mound sediments. These data imply that Propeller Mound faces burial by hemipelagic sediments as has happened to numerous buried carbonate mounds found slightly to the north of the investigated area.</x:v>
      </x:c>
      <x:c r="K23" s="11" t="str">
        <x:v>NO</x:v>
      </x:c>
      <x:c r="L23" s="7" t="str">
        <x:v>NOT_CONFIRMED</x:v>
      </x:c>
      <x:c r="M23" s="7" t="str"/>
      <x:c r="N23" s="7" t="str">
        <x:v>VERIFIED_DOI_DOCUMENT</x:v>
      </x:c>
      <x:c r="O23" s="7" t="str">
        <x:v>B01_DEEP_COLD_SEDIMENT_EVIDENCE</x:v>
      </x:c>
      <x:c r="P23" s="11" t="str">
        <x:v>HIGH</x:v>
      </x:c>
      <x:c r="Q23" s="7" t="str">
        <x:v>Cold-water corals Lophelia pertusa and Madrepora oculata on Propeller Mound, NE Atlantic.</x:v>
      </x:c>
      <x:c r="R23" s="7" t="str">
        <x:v>Explicit sediment pathway: suspended sediments buffered from suspension by corals, and burial by hemipelagic sediments.</x:v>
      </x:c>
      <x:c r="S23" s="7" t="str">
        <x:v>Quantifies net carbonate accumulation (&lt;0.3 g/cm2/kyr) and concludes the mound faces burial by hemipelagic sediments; addresses implications for mound survival.</x:v>
      </x:c>
      <x:c r="T23" s="7" t="str">
        <x:v>Direct deep/cold coral source with explicit sediment burial/deposition pathway and biological/ecological impact evidence (carbonate budget, burial risk).</x:v>
      </x:c>
      <x:c r="U23" s="7" t="str">
        <x:v>This is a deep-sea cold-water coral study explicitly addressing sediment dynamics and burial. It documents that corals contribute to the carbonate mound but that the mound is currently being buried by hemipelagic sediments, which is a direct sediment-impact pathway. The evidence includes net carbonate accumulation rates and inferred burial risk, satisfying B01's requirement for sediment-related impact or condition evidence. It is preferable to CHAIN_ONLY because it includes substantive coral-sediment interaction, not merely references. It is not excluded because the sediment pathway and coral response are clear, despite being more geological than experimental.</x:v>
      </x:c>
      <x:c r="V23" s="7" t="str">
        <x:v>ALL_VERIFIED_CENTRAL_PEER_REVIEWED</x:v>
      </x:c>
      <x:c r="W23" s="7" t="str">
        <x:v>TBV1-0050</x:v>
      </x:c>
    </x:row>
    <x:row r="24" ht="42" customHeight="1">
      <x:c r="A24" s="14" t="str">
        <x:v>B</x:v>
      </x:c>
      <x:c r="B24" s="7" t="str">
        <x:v>GLV4-03C8D5228F36</x:v>
      </x:c>
      <x:c r="C24" s="7" t="str">
        <x:v>Cenos EIA Chapter 10 – Benthic Ecology</x:v>
      </x:c>
      <x:c r="D24" s="7" t="str"/>
      <x:c r="E24" s="11" t="str"/>
      <x:c r="F24" s="7" t="str">
        <x:v>marine.gov.scot</x:v>
      </x:c>
      <x:c r="G24" s="7" t="str">
        <x:v>environmental_impact_statement</x:v>
      </x:c>
      <x:c r="H24" s="7" t="str"/>
      <x:c r="I24" s="7" t="str">
        <x:v>https://marine.gov.scot/sites/default/files/cenos_eia_vol.3_-_chapter_10_-_benthic_ecology_redacted.pdf</x:v>
      </x:c>
      <x:c r="J24" s="7" t="str">
        <x:v>that A. digitatum sloughed off settled particles with a large amount of mucous. In terms of smothering A. digitatum has low sensitivity, intermediate intolerance and Cenos EIA Chapter 10 – Benthic Ecology Document Number: A-100907-S01-A-ESIA-011 146 high recoverability (Budd, 2008). Some colonies of A. digitatum can attain a height of up to 20 cm (i.e. a level of sedimentation much higher than the worst-case scenario predicted from the modelling study – see Section 10.6.1.2 and Section 10.5.6.2) so would still be able to expand tentacles and columns of the polyps to filer feed, and materials m</x:v>
      </x:c>
      <x:c r="K24" s="11" t="str">
        <x:v>YES</x:v>
      </x:c>
      <x:c r="L24" s="7" t="str">
        <x:v>PUBLIC_FULL_DOCUMENT_LOCATION</x:v>
      </x:c>
      <x:c r="M24" s="7" t="str">
        <x:v>https://marine.gov.scot/sites/default/files/cenos_eia_vol.3_-_chapter_10_-_benthic_ecology_redacted.pdf</x:v>
      </x:c>
      <x:c r="N24" s="7" t="str">
        <x:v>VERIFIED_DIRECT_DOCUMENT_URL</x:v>
      </x:c>
      <x:c r="O24" s="7" t="str">
        <x:v>B02_DEEP_COLD_REVIEW_ASSESSMENT</x:v>
      </x:c>
      <x:c r="P24" s="11" t="str">
        <x:v>HIGH</x:v>
      </x:c>
      <x:c r="Q24" s="7" t="str">
        <x:v>Alcyonium digitatum (dead man's fingers), a cold-water soft coral.</x:v>
      </x:c>
      <x:c r="R24" s="7" t="str">
        <x:v>Sedimentation, smothering, and settled particles.</x:v>
      </x:c>
      <x:c r="S24" s="7" t="str">
        <x:v>Mucous-mediated particle sloughing, low sensitivity, intermediate intolerance, high recoverability, ability to expand tentacles and filter feed despite sedimentation.</x:v>
      </x:c>
      <x:c r="T24" s="7" t="str">
        <x:v>Substantive EIA chapter assessing sediment-related impacts on a cold-water coral, with sensitivity and recoverability data relevant to the review.</x:v>
      </x:c>
      <x:c r="U24" s="7" t="str">
        <x:v>The snippet from this EIA chapter directly discusses sedimentation and smothering effects on Alcyonium digitatum, a cold-water soft coral, including mucus production, sensitivity, intolerance, and recoverability. This is a substantive regulatory assessment, fitting B02_DEEP_COLD_REVIEW_ASSESSMENT. It is preferable to B01 because it is an assessment, not a primary evidence study, and preferable to CHAIN_ONLY because it contains direct target evidence.</x:v>
      </x:c>
      <x:c r="V24" s="7" t="str">
        <x:v>ALL_VERIFIED_NON_TROPICAL_TIER_B_INCLUSIONS</x:v>
      </x:c>
      <x:c r="W24" s="7" t="str">
        <x:v>TBV1-0786</x:v>
      </x:c>
    </x:row>
    <x:row r="25" ht="42" customHeight="1">
      <x:c r="A25" s="14" t="str">
        <x:v>B</x:v>
      </x:c>
      <x:c r="B25" s="7" t="str">
        <x:v>CWC-7398D80B9FD9</x:v>
      </x:c>
      <x:c r="C25" s="7" t="str">
        <x:v>Chapter 18 Drilling Mud Plumes From Offshore Drilling Operations: Implications for Coral Survival</x:v>
      </x:c>
      <x:c r="D25" s="7" t="str">
        <x:v>Eugene A. Shinn | J. Harold Hudson | Daniel M. Robbin | Carol K. Lee</x:v>
      </x:c>
      <x:c r="E25" s="11" t="str">
        <x:v>1980</x:v>
      </x:c>
      <x:c r="F25" s="7" t="str">
        <x:v>Elsevier oceanography series</x:v>
      </x:c>
      <x:c r="G25" s="7" t="str">
        <x:v>book-chapter</x:v>
      </x:c>
      <x:c r="H25" s="7" t="str">
        <x:v>10.1016/s0422-9894(08)71395-3</x:v>
      </x:c>
      <x:c r="I25" s="7" t="str">
        <x:v>https://doi.org/10.1016/s0422-9894(08)71395-3</x:v>
      </x:c>
      <x:c r="J25" s="7" t="str"/>
      <x:c r="K25" s="11" t="str">
        <x:v>NO</x:v>
      </x:c>
      <x:c r="L25" s="7" t="str">
        <x:v>NOT_CONFIRMED</x:v>
      </x:c>
      <x:c r="M25" s="7" t="str"/>
      <x:c r="N25" s="7" t="str">
        <x:v>VERIFIED_DOI_DOCUMENT</x:v>
      </x:c>
      <x:c r="O25" s="7" t="str">
        <x:v>B01_DEEP_COLD_SEDIMENT_EVIDENCE</x:v>
      </x:c>
      <x:c r="P25" s="11" t="str">
        <x:v>MEDIUM</x:v>
      </x:c>
      <x:c r="Q25" s="7" t="str">
        <x:v>Corals (unspecified environment)</x:v>
      </x:c>
      <x:c r="R25" s="7" t="str">
        <x:v>Drilling mud plumes from offshore drilling operations (suspended particles/deposition)</x:v>
      </x:c>
      <x:c r="S25" s="7" t="str">
        <x:v>Implications for coral survival</x:v>
      </x:c>
      <x:c r="T25" s="7" t="str">
        <x:v>Title explicitly describes drilling mud plumes and their implications for coral survival, meeting the Tier B sediment-impact criteria (drilling-mud pathway and biological response).</x:v>
      </x:c>
      <x:c r="U25" s="7" t="str">
        <x:v>Title clearly indicates a study or assessment of drilling mud plumes (a sediment-related pathway) and their implications for coral survival (a biological response). The document is a substantive book chapter. Environmental context (deep/cold vs tropical) is not specified in the title, so the specific Tier B pathway is uncertain; however, the content is clearly within the scope of sediment effects on corals. Prefer include over CHAIN_ONLY because there is direct coral/sediment content. Over EXCLUDE because there is no indication of out-of-scope. Over UNCERTAIN because the title provides sufficient evidence for inclusion, though full text may be needed to refine the pathway code.</x:v>
      </x:c>
      <x:c r="V25" s="7" t="str">
        <x:v>ALL_VERIFIED_NON_TROPICAL_TIER_B_INCLUSIONS</x:v>
      </x:c>
      <x:c r="W25" s="7" t="str">
        <x:v>TBV1-0164</x:v>
      </x:c>
    </x:row>
    <x:row r="26" ht="42" customHeight="1">
      <x:c r="A26" s="14" t="str">
        <x:v>B</x:v>
      </x:c>
      <x:c r="B26" s="7" t="str">
        <x:v>GLV4-D60A097AB693</x:v>
      </x:c>
      <x:c r="C26" s="7" t="str">
        <x:v>CO #42 Large gorgonian corals in the PBGB LOMA</x:v>
      </x:c>
      <x:c r="D26" s="7" t="str"/>
      <x:c r="E26" s="11" t="str"/>
      <x:c r="F26" s="7" t="str">
        <x:v>waves-vagues.dfo-mpo.gc.ca</x:v>
      </x:c>
      <x:c r="G26" s="7" t="str">
        <x:v>report</x:v>
      </x:c>
      <x:c r="H26" s="7" t="str"/>
      <x:c r="I26" s="7" t="str">
        <x:v>https://waves-vagues.dfo-mpo.gc.ca/Library/342998rank8.pdf</x:v>
      </x:c>
      <x:c r="J26" s="7" t="str">
        <x:v>or associated pipeline construction, or buried under dredge spoils, drill cuttings or muds will be permanently destroyed.  Associated activities may affect corals over a broader area by increasing sedimentation levels in the water column, as well as potentially toxic drill cuttings and muds (Gass, 2003).  Exposure to disturbances, either physical or chemical, often results in the retraction of coral polyps. If these defense reactions persist for long periods of time because of continued exposure to a pollutant or physical disturbance, they can have various results- decreased nutrient assimil</x:v>
      </x:c>
      <x:c r="K26" s="11" t="str">
        <x:v>YES</x:v>
      </x:c>
      <x:c r="L26" s="7" t="str">
        <x:v>PUBLIC_FULL_DOCUMENT_LOCATION</x:v>
      </x:c>
      <x:c r="M26" s="7" t="str">
        <x:v>https://waves-vagues.dfo-mpo.gc.ca/Library/342998rank8.pdf</x:v>
      </x:c>
      <x:c r="N26" s="7" t="str">
        <x:v>VERIFIED_DIRECT_DOCUMENT_URL</x:v>
      </x:c>
      <x:c r="O26" s="7" t="str">
        <x:v>B01_DEEP_COLD_SEDIMENT_EVIDENCE</x:v>
      </x:c>
      <x:c r="P26" s="11" t="str">
        <x:v>HIGH</x:v>
      </x:c>
      <x:c r="Q26" s="7" t="str">
        <x:v>Large gorgonian corals (cold-water corals) in the PBGB LOMA, a deep-sea or cold-water coral context.</x:v>
      </x:c>
      <x:c r="R26" s="7" t="str">
        <x:v>Sediment-related stressors including pipeline construction, dredge spoils, drill cuttings, muds, and increased water-column sedimentation.</x:v>
      </x:c>
      <x:c r="S26" s="7" t="str">
        <x:v>Permanent destruction if buried; polyp retraction and decreased nutrient assimilation with continued sediment exposure.</x:v>
      </x:c>
      <x:c r="T26" s="7" t="str">
        <x:v>Meets B01_DEEP_COLD_SEDIMENT_EVIDENCE: a cold-water coral source with an explicit sediment pathway and biological/impact evidence.</x:v>
      </x:c>
      <x:c r="U26" s="7" t="str">
        <x:v>The report concerns large gorgonian corals in a Canadian offshore area and explicitly links sediment-related stressors (pipeline construction, dredge spoils, drill cuttings, muds, increased sedimentation) to biological impacts, including permanent destruction via burial and polyp retraction leading to decreased nutrient assimilation. This matches B01_DEEP_COLD_SEDIMENT_EVIDENCE because it is a cold-water coral source with an explicit sediment pathway and impact evidence. It could also be considered a B02 assessment report, but B01 is the more direct evidence pathway. Exclusions do not apply because the organism and stressor are clearly coral and sediment. Confidence is HIGH given explicit wording.</x:v>
      </x:c>
      <x:c r="V26" s="7" t="str">
        <x:v>ALL_VERIFIED_CSAS</x:v>
      </x:c>
      <x:c r="W26" s="7" t="str">
        <x:v>TBV1-0450</x:v>
      </x:c>
    </x:row>
    <x:row r="27" ht="42" customHeight="1">
      <x:c r="A27" s="14" t="str">
        <x:v>B</x:v>
      </x:c>
      <x:c r="B27" s="7" t="str">
        <x:v>CWC-D59D421CC301</x:v>
      </x:c>
      <x:c r="C27" s="7" t="str">
        <x:v>Cold-water coral ecosystems in Cassidaigne Canyon: An assessment of their environmental living conditions</x:v>
      </x:c>
      <x:c r="D27" s="7" t="str">
        <x:v>Marie-Claire Fabri | Annaëlle Bargain | Ivane Pairaud | Laura Pedel | Isabelle Taupier‐Letage</x:v>
      </x:c>
      <x:c r="E27" s="11" t="str">
        <x:v>2016</x:v>
      </x:c>
      <x:c r="F27" s="7" t="str">
        <x:v>Deep Sea Research Part II Topical Studies in Oceanography</x:v>
      </x:c>
      <x:c r="G27" s="7" t="str">
        <x:v>article</x:v>
      </x:c>
      <x:c r="H27" s="7" t="str">
        <x:v>10.1016/j.dsr2.2016.06.006</x:v>
      </x:c>
      <x:c r="I27" s="7" t="str">
        <x:v>https://doi.org/10.1016/j.dsr2.2016.06.006</x:v>
      </x:c>
      <x:c r="J27" s="7" t="str">
        <x:v>The Cassidaigne canyon is one of the two canyons (together with Lacaze-Duthiers) of the French Mediterranean coast in which cold-water corals have settled and formed large colonies, providing a structural habitat for other species. Nevertheless, the communities settled in the Cassidaigne canyon are physically impacted by discharges of bauxite residues. New information on the distribution of the species Madrepora oculata and the associated species diversity in Cassidaigne canyon was provided by videos and photos acquired in 2013. An area investigated at 515 m depth harbored a high density of small colonies of M. oculata. The water column structure of the area was described by using a CTD transect deployed along the axis of the canyon. High resolution (10 m and 2 m) bathymetric data were collected in the Cassidaigne canyon in 2010 and 2014. Seafloor characteristics were derived from the 10 m resolution bathymetric data. Data on local hydrodynamic conditions in the first 10 m above the seafloor were produced by applying the MARS3D hydrodynamic model in the Cassidaigne canyon at a horizontal resolution of 80 m (CASCANS model configuration). These environmental datasets combined with the geographic coordinates of the known occurrences of dense M. oculata colonies in the canyon allowed establishing a model using the MaxEnt software package to predict the habitat distribution in terms of probability of occurrence. According to the water mass analysis, M. oculata habitats are mainly located in the layer of the Intermediate waters originating from the Eastern Mediterranean Basin. A high concentration of suspended sediment due to the bauxite residues expelled into the canyon was observed in the axis. of the canyon where we measured 1 NTU (2.5 mg/l) at 100 m above the bottom while concentrations were even higher (2 NTU; 5 mg/l) closer to the bottom. The habitat 'suitability model indicates that the living conditions of M. oculata can be found in areas of the Cassidaigne canyon where the substratum shows irregularities, slopes and topographic highs. Concerning environmental variables resulting from the hydrodynamic model, temperature and high current velocities were identified as explanatory factors of the distribution of M. oculata. Suitable areas for M. oculata habitat settlement were mapped at the scale of the canyon. This study gathers multiple disciplines combined to consider a submarine canyon as a global functioning system and is an approach intended to promote the management of sensitive ecosystems in complex topographic features such as canyons. (C) 2016 Elsevier Ltd. All rights reserved.</x:v>
      </x:c>
      <x:c r="K27" s="11" t="str">
        <x:v>YES</x:v>
      </x:c>
      <x:c r="L27" s="7" t="str">
        <x:v>FROZEN_PUBLIC_FULL_TEXT_LOCATION</x:v>
      </x:c>
      <x:c r="M27" s="7" t="str">
        <x:v>https://archimer.ifremer.fr/doc/00343/45373/</x:v>
      </x:c>
      <x:c r="N27" s="7" t="str">
        <x:v>VERIFIED_DOI_DOCUMENT</x:v>
      </x:c>
      <x:c r="O27" s="7" t="str">
        <x:v>B01_DEEP_COLD_SEDIMENT_EVIDENCE</x:v>
      </x:c>
      <x:c r="P27" s="11" t="str">
        <x:v>HIGH</x:v>
      </x:c>
      <x:c r="Q27" s="7" t="str">
        <x:v>Cold-water coral Madrepora oculata; associated species diversity in Cassidaigne Canyon.</x:v>
      </x:c>
      <x:c r="R27" s="7" t="str">
        <x:v>Discharges of bauxite residues; suspended sediment concentrations measured (1-2 NTU; 2.5-5 mg/l) near bottom.</x:v>
      </x:c>
      <x:c r="S27" s="7" t="str">
        <x:v>Living conditions/habitat suitability modelled; coral communities physically impacted; high density small colonies at 515 m; habitat distribution influenced by environmental variables.</x:v>
      </x:c>
      <x:c r="T27" s="7" t="str">
        <x:v>Deep-sea/cold-water coral study with explicit sediment pathway (bauxite residue discharges, suspended sediment) and impact/assessment evidence.</x:v>
      </x:c>
      <x:c r="U27" s="7" t="str">
        <x:v>The record evaluates cold-water coral ecosystems in Cassidaigne Canyon, specifically Madrepora oculata, under environmental conditions where bauxite residue discharges create elevated suspended sediment concentrations (2.5-5 mg/l). It explicitly states the communities are physically impacted by these discharges and assesses habitat suitability and living conditions via modeling. This provides direct evidence of a sediment pathway and biological/ecological impact or assessment, meeting Tier B inclusion under B01. The closest alternative would be B02 (review/assessment) as it is an assessment-style study, but B01 is more specific because it includes empirical sediment measurement and coral distribution evidence. Excluded alternatives (e.g., organism out of scope, no sediment pathway) do not apply.</x:v>
      </x:c>
      <x:c r="V27" s="7" t="str">
        <x:v>ALL_VERIFIED_CENTRAL_PEER_REVIEWED</x:v>
      </x:c>
      <x:c r="W27" s="7" t="str">
        <x:v>TBV1-0015</x:v>
      </x:c>
    </x:row>
    <x:row r="28" ht="42" customHeight="1">
      <x:c r="A28" s="14" t="str">
        <x:v>B</x:v>
      </x:c>
      <x:c r="B28" s="7" t="str">
        <x:v>CWC-2E7C6BB21300</x:v>
      </x:c>
      <x:c r="C28" s="7" t="str">
        <x:v>Cold-Water Coral Mound Archive Provides Unique Insights Into Intermediate Water Mass Dynamics in the Alboran Sea During the Last Deglaciation</x:v>
      </x:c>
      <x:c r="D28" s="7" t="str">
        <x:v>Robin Fentimen | Eline Feenstra | Andres Rüggeberg | Torsten Vennemann | Irka Hajdas | Thierry Adatte | David Van Rooij | Anneleen Foubert</x:v>
      </x:c>
      <x:c r="E28" s="11" t="str">
        <x:v>2020</x:v>
      </x:c>
      <x:c r="F28" s="7" t="str">
        <x:v>Frontiers in Marine Science</x:v>
      </x:c>
      <x:c r="G28" s="7" t="str">
        <x:v>article</x:v>
      </x:c>
      <x:c r="H28" s="7" t="str">
        <x:v>10.3389/fmars.2020.00354</x:v>
      </x:c>
      <x:c r="I28" s="7" t="str">
        <x:v>https://doi.org/10.3389/fmars.2020.00354</x:v>
      </x:c>
      <x:c r="J28" s="7" t="str">
        <x:v>The Alboran Sea is widely recognized to host numerous cold-water coral ecosystems, including the East Melilla Coral Province. Yet, their development through time and response to climatic variability has still to be fully understood. Based on a combined investigation of benthic foraminiferal assemblages, foraminiferal stable isotope compositions, grain size analysis, sediment geochemistry, and macrofaunal quantification, this study identifies key events and processes having governed cold-water coral development at the East Melilla Coral Province between Greenland Stadial 2.1 and the Early Holocene. The transition from Greenland Stadial 2.1 to Greenland Interstadial 1 is associated to a decline of bryozoan communities and their replacement by cold-water corals, together with changes in benthic foraminiferal assemblages and a decrease in the sediment mean grain size. These results suggest that a rapid decrease in bottom currents and the establishment of dysoxic and mesotrophic conditions at the seafloor, possibly associated to enhanced fluvial input, resulted in the decline of bryozoans as the dominant suspension feeding organisms and their replacement by a thriving cold-water coral community. This transition from a bryozoan to a coral dominated environment is concomitant with the beginning of the African Humid Period, confirming that increasing fluvial input could have been a main factor triggering the establishment of cold-water corals in the East Melilla Coral Province during Greenland Interstadial 1. A change in benthic foraminiferal communities and an increase in the sediment mean grain size mark the passage from the Early to Late Greenland Interstadial 1. The current velocity of intermediate water masses is suggested to have increased during the Early to Late Greenland Interstadial 1, whilst simultaneously fluvial input would have reduced. Such changes suggest that the climate became more arid during the second phase of Greenland Interstadial 1.</x:v>
      </x:c>
      <x:c r="K28" s="11" t="str">
        <x:v>YES</x:v>
      </x:c>
      <x:c r="L28" s="7" t="str">
        <x:v>FROZEN_PUBLIC_FULL_TEXT_LOCATION</x:v>
      </x:c>
      <x:c r="M28" s="7" t="str">
        <x:v>https://www.frontiersin.org/articles/10.3389/fmars.2020.00354/pdf</x:v>
      </x:c>
      <x:c r="N28" s="7" t="str">
        <x:v>VERIFIED_DOI_DOCUMENT</x:v>
      </x:c>
      <x:c r="O28" s="7" t="str">
        <x:v>B01_DEEP_COLD_SEDIMENT_EVIDENCE</x:v>
      </x:c>
      <x:c r="P28" s="11" t="str">
        <x:v>HIGH</x:v>
      </x:c>
      <x:c r="Q28" s="7" t="str">
        <x:v>Cold-water corals (likely Lophelia pertusa or Madrepora oculata) and associated bryozoan communities in the East Melilla Coral Province, Alboran Sea.</x:v>
      </x:c>
      <x:c r="R28" s="7" t="str">
        <x:v>Sediment-related changes: increased fluvial input (sediment delivery), decreased sediment mean grain size, and lower bottom-current velocity, leading to dysoxic and mesotrophic conditions.</x:v>
      </x:c>
      <x:c r="S28" s="7" t="str">
        <x:v>Decline of bryozoans and their replacement by a thriving cold-water coral community; coral development through time in response to sedimentation and water-mass changes.</x:v>
      </x:c>
      <x:c r="T28" s="7" t="str">
        <x:v>Deep-sea cold-water coral study that explicitly links sediment supply and grain-size changes to coral community establishment and development, providing ecological evidence for sediment effects on cold-water corals (B01).</x:v>
      </x:c>
      <x:c r="U28" s="7" t="str">
        <x:v>This record is a primary research article on cold-water corals in the Alboran Sea. It explicitly evaluates sediment-related processes: changes in fluvial input and sediment grain size are linked to a shift from bryozoan to cold-water coral dominance. The abstract states that 'increasing fluvial input could have been a main factor triggering the establishment of cold-water corals,' directly connecting sediment delivery to a biological response. This meets B01 because it provides deep/cold-water coral evidence with an explicit sediment pathway and ecological impact. The closest alternative would be CHAIN_ONLY, but this is not merely a reference source; it presents substantive sediment-impact evidence for corals. It is not B02 because it is a research article, not a review/assessment. Therefore, TIER_B_INCLUDE is appropriate.</x:v>
      </x:c>
      <x:c r="V28" s="7" t="str">
        <x:v>ALL_VERIFIED_CENTRAL_PEER_REVIEWED</x:v>
      </x:c>
      <x:c r="W28" s="7" t="str">
        <x:v>TBV1-1372</x:v>
      </x:c>
    </x:row>
    <x:row r="29" ht="42" customHeight="1">
      <x:c r="A29" s="14" t="str">
        <x:v>B</x:v>
      </x:c>
      <x:c r="B29" s="7" t="str">
        <x:v>CWC-3B3F2815C05C</x:v>
      </x:c>
      <x:c r="C29" s="7" t="str">
        <x:v>Cold-Water Corals and Anthropogenic Impacts in La Fonera Submarine Canyon Head, Northwestern Mediterranean Sea</x:v>
      </x:c>
      <x:c r="D29" s="7" t="str">
        <x:v>Galderic Lastras | Miquel Canals | Enric Ballesteros | Josep María Gili | Anna Sànchez‐Vidal</x:v>
      </x:c>
      <x:c r="E29" s="11" t="str">
        <x:v>2016</x:v>
      </x:c>
      <x:c r="F29" s="7" t="str">
        <x:v>PLoS ONE</x:v>
      </x:c>
      <x:c r="G29" s="7" t="str">
        <x:v>article</x:v>
      </x:c>
      <x:c r="H29" s="7" t="str">
        <x:v>10.1371/journal.pone.0155729</x:v>
      </x:c>
      <x:c r="I29" s="7" t="str">
        <x:v>https://doi.org/10.1371/journal.pone.0155729</x:v>
      </x:c>
      <x:c r="J29" s="7" t="str">
        <x:v>We assess the occurrence and extent of cold-water coral (CWC) species Madrepora oculata and Dendrophyllia cornigera, as well as gorgonian red coral Corallium rubrum, in La Fonera canyon head (Northwestern Mediterranean Sea), as well as human impacts taking place in their habitats. Occurrence is assessed based on Remotely Operated Vehicle (ROV) video imaging. Terrain classification techniques are applied to high-resolution swath bathymetric data to obtain semi-automatic interpretative maps to identify the relationship between coral distribution patterns and canyon environments. A total of 21 ROV immersions were carried out in different canyon environments at depths ranging between 79 and 401 m. Large, healthy colonies of M. oculata occur on abrupt, protected, often overhanging, rocky sections of the canyon walls, especially in Illa Negra branch. D. cornigera is sparser and evenly distributed at depth, on relatively low sloping areas, in rocky but also partially sedimented areas. C. rubrum is most frequent between 100 and 160 m on highly sloping rocky areas. The probable extent of CWC habitats is quantified by applying a maximum entropy model to predict habitat suitability: 0.36 km(2) yield M. oculata occurrence probabilities over 70%. Similar predictive models have been produced for D. cornigera and C. rubrum. All ROV transects document either the presence of litter on the seafloor or pervasive trawling marks. Nets and longlines are imaged entangled on coral colonies. Coral rubble is observed at the foot of impacted colonies. Some colonies are partially covered by sediment that could be the result of the resuspension generated by bottom trawling on neighbouring fishing grounds, which has been demonstrated to be responsible of daily increases in sediment fluxes within the canyon. The characteristics of the CWC community in La Fonera canyon are indicative that it withstands high environmental stress of both natural and human origin.</x:v>
      </x:c>
      <x:c r="K29" s="11" t="str">
        <x:v>YES</x:v>
      </x:c>
      <x:c r="L29" s="7" t="str">
        <x:v>FROZEN_PUBLIC_FULL_TEXT_LOCATION</x:v>
      </x:c>
      <x:c r="M29" s="7" t="str">
        <x:v>https://journals.plos.org/plosone/article/file?id=10.1371/journal.pone.0155729&amp;type=printable</x:v>
      </x:c>
      <x:c r="N29" s="7" t="str">
        <x:v>VERIFIED_DOI_DOCUMENT</x:v>
      </x:c>
      <x:c r="O29" s="7" t="str">
        <x:v>B01_DEEP_COLD_SEDIMENT_EVIDENCE</x:v>
      </x:c>
      <x:c r="P29" s="11" t="str">
        <x:v>HIGH</x:v>
      </x:c>
      <x:c r="Q29" s="7" t="str">
        <x:v>Cold-water corals Madrepora oculata, Dendrophyllia cornigera, and gorgonian Corallium rubrum in La Fonera canyon, NW Mediterranean.</x:v>
      </x:c>
      <x:c r="R29" s="7" t="str">
        <x:v>Sediment resuspension from bottom trawling on neighboring fishing grounds; corals partially covered by sediment; litter and fishing gear entangled on colonies.</x:v>
      </x:c>
      <x:c r="S29" s="7" t="str">
        <x:v>Coral rubble at foot of impacted colonies; partial sediment cover; inferred stress from increased sediment fluxes; documentation of human impacts in coral habitats.</x:v>
      </x:c>
      <x:c r="T29" s="7" t="str">
        <x:v>Provides direct evidence of sediment-related disturbance (resuspension, partial burial) affecting deep-sea cold-water corals, with impact observations and contextual assessment of anthropogenic stressors.</x:v>
      </x:c>
      <x:c r="U29" s="7" t="str">
        <x:v>The study documents cold-water coral occurrence and human impacts, explicitly linking bottom trawling resuspension to increased sediment fluxes and partial sediment coverage of corals. This meets B01 as deep/cold sediment evidence with clear biological/ecological impact evidence (rubble, stress). It is not merely distribution mapping; it assesses impacts. Closest alternative B02 (review/assessment) is less fitting because this is a primary research article. Confidence high because abstract explicitly states sediment cover and resuspension impact.</x:v>
      </x:c>
      <x:c r="V29" s="7" t="str">
        <x:v>ALL_VERIFIED_CENTRAL_PEER_REVIEWED</x:v>
      </x:c>
      <x:c r="W29" s="7" t="str">
        <x:v>TBV1-0070</x:v>
      </x:c>
    </x:row>
    <x:row r="30" ht="42" customHeight="1">
      <x:c r="A30" s="14" t="str">
        <x:v>B</x:v>
      </x:c>
      <x:c r="B30" s="7" t="str">
        <x:v>CWC-57848750F543</x:v>
      </x:c>
      <x:c r="C30" s="7" t="str">
        <x:v>A comparative study of the effects of sedimentation on symbiotic and asymbiotic colonies of the coral Astrangiadanae Milne Edwards and Haime 1849</x:v>
      </x:c>
      <x:c r="D30" s="7" t="str">
        <x:v>Esther C. Peters | Michael E. Q. Pilson</x:v>
      </x:c>
      <x:c r="E30" s="11" t="str">
        <x:v>1985</x:v>
      </x:c>
      <x:c r="F30" s="7" t="str">
        <x:v>Journal of Experimental Marine Biology and Ecology</x:v>
      </x:c>
      <x:c r="G30" s="7" t="str">
        <x:v>article</x:v>
      </x:c>
      <x:c r="H30" s="7" t="str">
        <x:v>10.1016/0022-0981(85)90096-6</x:v>
      </x:c>
      <x:c r="I30" s="7" t="str">
        <x:v>https://doi.org/10.1016/0022-0981(85)90096-6</x:v>
      </x:c>
      <x:c r="J30" s="7" t="str">
        <x:v>Abstract The effect of heavy sedimentation on corals was examined in the laboratory using both symbiotic and asymbiotic colonies of Astrangia danae Milne Edwards and Haime. Colonies receiving applications of clean fine sand at a rate of 200mg·cm −2 once per day for 4 wk were not different from controls with respect to symbiotic index, colony weights, growth rates, or net oxygen exchange rates. Slight adverse effects relative to controls were noted after increasing the sand applications to three times per day, which became more evident during a 2-wk period of starvation combined with the sand applications. Starved symbiotic colonies were more susceptible than starved asymbiotic colonies to the sediment loading. After the starvation period, sediment-exposed colonies processed for histopathological examination revealed loss of mucous secretory cells in the epidermis, compared to starved controls, along with an increase in mucoid material accumulations in the gastrodermis and calicoblastic epithelium. These results are consistent with previous field observations that sediment loading is harmful to stony corals. However, damage may be minimal as long as adequate nutrients, from either internal (zooxanthellae) or external (Zooplankton, particulates) sources, are available to the coral animal to meet the additional energy expenditures required to rid themselves of sediment.</x:v>
      </x:c>
      <x:c r="K30" s="11" t="str">
        <x:v>YES</x:v>
      </x:c>
      <x:c r="L30" s="7" t="str">
        <x:v>FROZEN_PUBLIC_FULL_TEXT_LOCATION</x:v>
      </x:c>
      <x:c r="M30" s="7" t="str">
        <x:v>https://digitalcommons.uri.edu/nrs_facpubs/705</x:v>
      </x:c>
      <x:c r="N30" s="7" t="str">
        <x:v>VERIFIED_DOI_DOCUMENT</x:v>
      </x:c>
      <x:c r="O30" s="7" t="str">
        <x:v>B03_NON_TROPICAL_DIRECT_MECHANISM</x:v>
      </x:c>
      <x:c r="P30" s="11" t="str">
        <x:v>HIGH</x:v>
      </x:c>
      <x:c r="Q30" s="7" t="str">
        <x:v>Astrangia danae, a temperate stony coral, studied in both symbiotic and asymbiotic colonies.</x:v>
      </x:c>
      <x:c r="R30" s="7" t="str">
        <x:v>Laboratory applications of clean fine sand at 200 mg/cm² once/day, increased to three times/day, including combined starvation periods.</x:v>
      </x:c>
      <x:c r="S30" s="7" t="str">
        <x:v>Measured symbiont index, colony weight, growth rates, net oxygen exchange, and histopathology; initial loading showed no marked differences, higher loading caused slight adverse effects and starvation increased susceptibility; histology revealed loss of mucous secretory cells and mucoid accumulations.</x:v>
      </x:c>
      <x:c r="T30" s="7" t="str">
        <x:v>Direct experimental test of sediment exposure on a non-tropical coral, reporting multiple biological responses relevant to sediment impacts.</x:v>
      </x:c>
      <x:c r="U30" s="7" t="str">
        <x:v>This is a clear direct-mechanism study on a temperate coral (Astrangia danae) explicitly testing sedimentation effects. The abstract documents both physiological (growth, oxygen exchange) and histological responses to sediment loading, including interaction with nutritional stress. It qualifies under B03 (non-tropical direct mechanism) because the species is shallow-water temperate, not deep-sea/cold-water (B01) or tropical (B04). The response evidence is substantive, so it is not merely a mention of sediment; it is the core experimental variable. Therefore, TIER_B_INCLUDE is appropriate, with high confidence and no need for full text.</x:v>
      </x:c>
      <x:c r="V30" s="7" t="str">
        <x:v>ALL_VERIFIED_NON_TROPICAL_TIER_B_INCLUSIONS</x:v>
      </x:c>
      <x:c r="W30" s="7" t="str">
        <x:v>TBV1-0166</x:v>
      </x:c>
    </x:row>
    <x:row r="31" ht="42" customHeight="1">
      <x:c r="A31" s="14" t="str">
        <x:v>B</x:v>
      </x:c>
      <x:c r="B31" s="7" t="str">
        <x:v>CWC-1BD650C2C691</x:v>
      </x:c>
      <x:c r="C31" s="7" t="str">
        <x:v>COMPOSITION AND BIOLOGICAL IMPLICATIONS OF A NEPHELOID LAYER OVER THE INNER AGULHAS BANK NEAR MOSSEL BAY, SOUTH AFRICA</x:v>
      </x:c>
      <x:c r="D31" s="7" t="str">
        <x:v>P. Zoutendyk | Ian R Duvenage</x:v>
      </x:c>
      <x:c r="E31" s="11" t="str">
        <x:v>1989</x:v>
      </x:c>
      <x:c r="F31" s="7" t="str">
        <x:v>Transactions of the Royal Society of South Africa</x:v>
      </x:c>
      <x:c r="G31" s="7" t="str">
        <x:v>article</x:v>
      </x:c>
      <x:c r="H31" s="7" t="str">
        <x:v>10.1080/00359198909520162</x:v>
      </x:c>
      <x:c r="I31" s="7" t="str">
        <x:v>https://doi.org/10.1080/00359198909520162</x:v>
      </x:c>
      <x:c r="J31" s="7" t="str">
        <x:v>Water from the nepheoid layer associated with the mud belts on the inner Agulhas Bank near Mossel Bay contained a concentration of 19,0 mg.cntdot.l-1 total suspened particulate matter. Particulate organic matter (POM) formed only 7 per cent of this and was 3-4 times less than that of comparable coastal waters. Particle size distribution was skewed to the lower size range with a peak at 30 .mu.m. With the aid of the Shields curve for incipient motion of fine sediment, grain sizes that would be entrained from the bottom by orbital velocities resulting from waves were calcuated; such grains will be present over the mud belts for most of the year. Considerable differences in community structure between two reef systems at the same depth were recorded and may be attributed to nepheloid water. Where turbidity was high, macrophyte cover amounted to only 0,3 gC.cntdot.m-2 compared with 111 gC.m-2 in the absence of nepheloid water. Nepheloid water also affected filter-feeders; Porifera appeared to benefit from the percentage of POM falling into the correct size range, while other groups, e.g. tunicates appeared to be affected adversely by the high inorganic fraction. Particulate organic carbon (POC) requirements of reef filter feeders of 467 mgC.cntdot.m-2.cntdot.d-1 appear fulfilled by nepheloid POC of 670 mg POC.cntdot.m-3.</x:v>
      </x:c>
      <x:c r="K31" s="11" t="str">
        <x:v>NO</x:v>
      </x:c>
      <x:c r="L31" s="7" t="str">
        <x:v>NOT_CONFIRMED</x:v>
      </x:c>
      <x:c r="M31" s="7" t="str"/>
      <x:c r="N31" s="7" t="str">
        <x:v>VERIFIED_DOI_DOCUMENT</x:v>
      </x:c>
      <x:c r="O31" s="7" t="str">
        <x:v>B03_NON_TROPICAL_DIRECT_MECHANISM</x:v>
      </x:c>
      <x:c r="P31" s="11" t="str">
        <x:v>HIGH</x:v>
      </x:c>
      <x:c r="Q31" s="7" t="str">
        <x:v>Porifera (sponges) and other reef filter feeders such as tunicates on the inner Agulhas Bank reef systems.</x:v>
      </x:c>
      <x:c r="R31" s="7" t="str">
        <x:v>Nepheloid layer water with total suspended particulate matter concentration of 19.0 mg/l, high inorganic fraction, particulate organic matter forming only 7%, and particle size distribution peaking at 30 μm.</x:v>
      </x:c>
      <x:c r="S31" s="7" t="str">
        <x:v>Community structure differences between two reef systems attributed to nepheloid water; Porifera appeared to benefit from POM in the correct size range while tunicates were adversely affected by the high inorganic fraction; POC requirements of reef filter feeders were fulfilled by nepheloid POC.</x:v>
      </x:c>
      <x:c r="T31" s="7" t="str">
        <x:v>Direct field study of sediment/turbidity exposure in a temperate (non-tropical) bank system, reporting biological responses for sponges and other filter feeders.</x:v>
      </x:c>
      <x:c r="U31" s="7" t="str">
        <x:v>This article directly examines a nepheloid layer over the Agulhas Bank and its biological implications for reef communities, including Porifera and tunicates. The sediment pathway is explicit: suspended particulate matter, turbidity, and POM/inorganic fractions. Responses are community-level and taxa-specific: sponges benefited from POM size range while tunicates were adversely affected by the inorganic fraction. This is a non-tropical sponge study (B03), not merely a mention of turbidity; it measures sediment exposure and biological response. Excluded alternatives: B04 is tropical only, and B01/B02 are deep/cold-water; here it's a temperate shelf bank.</x:v>
      </x:c>
      <x:c r="V31" s="7" t="str">
        <x:v>ALL_VERIFIED_NON_TROPICAL_TIER_B_INCLUSIONS</x:v>
      </x:c>
      <x:c r="W31" s="7" t="str">
        <x:v>TBV1-0251</x:v>
      </x:c>
    </x:row>
    <x:row r="32" ht="42" customHeight="1">
      <x:c r="A32" s="14" t="str">
        <x:v>B</x:v>
      </x:c>
      <x:c r="B32" s="7" t="str">
        <x:v>CWC-17DD3B7BCE9D</x:v>
      </x:c>
      <x:c r="C32" s="7" t="str">
        <x:v>Control of Deep Currents on Sediment and Cold-Water Coral Distribution on the Northern Manihiki Plateau</x:v>
      </x:c>
      <x:c r="D32" s="7" t="str">
        <x:v>Sara Bashah | Kimberly Galvez | Gregor P. Eberli | Kasey Cantwell</x:v>
      </x:c>
      <x:c r="E32" s="11" t="str">
        <x:v>2020</x:v>
      </x:c>
      <x:c r="F32" s="7" t="str">
        <x:v>Frontiers in Marine Science</x:v>
      </x:c>
      <x:c r="G32" s="7" t="str">
        <x:v>article</x:v>
      </x:c>
      <x:c r="H32" s="7" t="str">
        <x:v>10.3389/fmars.2020.00288</x:v>
      </x:c>
      <x:c r="I32" s="7" t="str">
        <x:v>https://doi.org/10.3389/fmars.2020.00288</x:v>
      </x:c>
      <x:c r="J32" s="7" t="str">
        <x:v>High-definition video surveys of remotely-operated vehicle (ROV) dives from the NOAA's Mountains in the Deep 2017 expedition (EX1705) along volcanic ridges and seamounts of the Manihiki Plateau coupled with multibeam bathymetry data and water column profiles, reveal no or minimal sediment cover on the basaltic edifice, but variable amounts of cold-water corals on ferromanganese-encrusted basaltic rocks. Coarse sediment, however, accumulates in crevasses and sedimentary ripples testify the existence of currents in the area. Collectively, these observations illustrate the strong influence of deep currents on the surficial geology and cold-water coral distribution at similar to 2,000 m water depths. Dive transects along two basaltic seamounts show stark differences of sedimentary features and cold-water coral distribution. On the ridges of "Te Kawhiti" (water depth: 2,089-2,220 m), basaltic slabs, and cold-water corals are far more abundant in comparison to the slope of a mesa in "Te Tuku" (water depth: 2,440-2,495 m). The increased abundance on "Te Kawhiti" is due to the exposure of "Te Kawhiti" to Lower Circumpolar Deep Water that sweeps the summit of the ridges as indicated by frequent ripples observed in between the basaltic rocks. The currents are strong enough to sweep fine-grained sediments away, leaving coarse-grained sediments behind, inducing the formation of ferromanganese crust on the basaltic rocks. Both dive sites are below the high-Mg calcite saturation horizon, and as a result, the cold-water coral community is dominated by Isididae, which can build a high-Mg calcite skeleton in water undersaturated in regards to high-Mg calcite.</x:v>
      </x:c>
      <x:c r="K32" s="11" t="str">
        <x:v>YES</x:v>
      </x:c>
      <x:c r="L32" s="7" t="str">
        <x:v>FROZEN_PUBLIC_FULL_TEXT_LOCATION</x:v>
      </x:c>
      <x:c r="M32" s="7" t="str"/>
      <x:c r="N32" s="7" t="str">
        <x:v>VERIFIED_DOI_DOCUMENT</x:v>
      </x:c>
      <x:c r="O32" s="7" t="str">
        <x:v>B01_DEEP_COLD_SEDIMENT_EVIDENCE</x:v>
      </x:c>
      <x:c r="P32" s="11" t="str">
        <x:v>HIGH</x:v>
      </x:c>
      <x:c r="Q32" s="7" t="str">
        <x:v>Cold-water corals, specifically Isididae, on basaltic seamounts of the Manihiki Plateau.</x:v>
      </x:c>
      <x:c r="R32" s="7" t="str">
        <x:v>Deep currents controlling sediment cover and distribution, sweeping fine sediments away and leaving coarse sediments.</x:v>
      </x:c>
      <x:c r="S32" s="7" t="str">
        <x:v>Coral abundance and distribution differ between sites with contrasting sedimentary regimes; increased abundance on Te Kawhiti where currents sweep fine sediment.</x:v>
      </x:c>
      <x:c r="T32" s="7" t="str">
        <x:v>Deep-sea cold-water coral study with explicit sediment pathway (current-controlled sediment cover) and ecological evidence of coral distribution. This fits B01.</x:v>
      </x:c>
      <x:c r="U32" s="7" t="str">
        <x:v>This is a deep-sea cold-water coral study that directly links sediment distribution to coral abundance. The abstract clearly describes how deep currents influence sediment cover, leaving coarse sediments in some areas, and associates this with greater coral abundance. This constitutes biological/ecological evidence of a sediment-related effect on cold-water corals. The study is substantive (peer-reviewed article) and qualifies under B01_DEEP_COLD_SEDIMENT_EVIDENCE. It is not merely a geological or distribution study because the coral response is explicitly linked to sedimentary processes. The closest alternative would be exclusion for lacking a direct sediment stressor, but the current-driven sediment regime is an explicit pathway affecting coral habitat. Therefore, inclusion is appropriate.</x:v>
      </x:c>
      <x:c r="V32" s="7" t="str">
        <x:v>ALL_VERIFIED_CENTRAL_PEER_REVIEWED</x:v>
      </x:c>
      <x:c r="W32" s="7" t="str">
        <x:v>TBV1-0004</x:v>
      </x:c>
    </x:row>
    <x:row r="33" ht="42" customHeight="1">
      <x:c r="A33" s="14" t="str">
        <x:v>B</x:v>
      </x:c>
      <x:c r="B33" s="7" t="str">
        <x:v>CWC-FE2F7AECE283</x:v>
      </x:c>
      <x:c r="C33" s="7" t="str">
        <x:v>Coral &amp; Sponge Conservation Strategy for Eastern Canada 2015</x:v>
      </x:c>
      <x:c r="D33" s="7" t="str"/>
      <x:c r="E33" s="11" t="str">
        <x:v>2015</x:v>
      </x:c>
      <x:c r="F33" s="7" t="str">
        <x:v>Fisheries and Oceans Canada</x:v>
      </x:c>
      <x:c r="G33" s="7" t="str">
        <x:v>government_report</x:v>
      </x:c>
      <x:c r="H33" s="7" t="str"/>
      <x:c r="I33" s="7" t="str">
        <x:v>https://www.dfo-mpo.gc.ca/oceans/publications/cs-ce/index-eng.html</x:v>
      </x:c>
      <x:c r="J33" s="7" t="str">
        <x:v>Drilling units, pipelines and production facilities can affect coral and sponge populations. Sediment disturbance can increase turbidity in the water which has a negative impact on both corals and sponges. Physical damage or displacement can occur as a result of anchoring or mooring vessels near the production platform (DFO 2010a). Also, there is the potential for drill cuttings to smother corals and sponges (Roberts et al. 2009; Lumsden et al. 2007) and accidental releases of oil and gas [...] The number of corals identified in eastern Canadian waters is approaching 60 species (V. Wareham Per</x:v>
      </x:c>
      <x:c r="K33" s="11" t="str">
        <x:v>YES</x:v>
      </x:c>
      <x:c r="L33" s="7" t="str">
        <x:v>FROZEN_PUBLIC_FULL_TEXT_LOCATION</x:v>
      </x:c>
      <x:c r="M33" s="7" t="str">
        <x:v>http://www.dfo-mpo.gc.ca/oceans/publications/cs-ce/index-eng.html</x:v>
      </x:c>
      <x:c r="N33" s="7" t="str">
        <x:v>VERIFIED_BIBLIOGRAPHIC_DOCUMENT</x:v>
      </x:c>
      <x:c r="O33" s="7" t="str">
        <x:v>B02_DEEP_COLD_REVIEW_ASSESSMENT</x:v>
      </x:c>
      <x:c r="P33" s="11" t="str">
        <x:v>HIGH</x:v>
      </x:c>
      <x:c r="Q33" s="7" t="str">
        <x:v>Corals and sponges in eastern Canadian waters, with nearly 60 coral species.</x:v>
      </x:c>
      <x:c r="R33" s="7" t="str">
        <x:v>Sediment disturbance increasing turbidity, drill cuttings smothering, physical displacement from anchoring.</x:v>
      </x:c>
      <x:c r="S33" s="7" t="str">
        <x:v>Negative impacts on corals and sponges, smothering potential, conservation strategy context.</x:v>
      </x:c>
      <x:c r="T33" s="7" t="str">
        <x:v>Substantive government report focused on coral and sponge conservation with direct sediment-impact content, including turbidity and drill cuttings smothering, qualifying as a review/assessment with potential to inform effects, exposure, thresholds, vulnerability, mitigation, or recovery.</x:v>
      </x:c>
      <x:c r="U33" s="7" t="str">
        <x:v>This Fisheries and Oceans Canada conservation strategy specifically addresses corals and sponges in eastern Canada. The abstract explicitly links sediment disturbance to increased turbidity and negative impacts on corals and sponges, and discusses drill cuttings smothering potential. This is a substantive government report with a direct sediment-impact focus, meeting the B02 deep/cold review/assessment criterion. The closest alternative would be B01, which concerns primary evidence; this is a higher-level conservation strategy document, so B02 is more appropriate. The document is clearly within scope as a deep/cold coral and sponge report. Confidence is high because the abstract provides explicit sediment-related impact content.</x:v>
      </x:c>
      <x:c r="V33" s="7" t="str">
        <x:v>ALL_VERIFIED_CSAS</x:v>
      </x:c>
      <x:c r="W33" s="7" t="str">
        <x:v>TBV1-0073</x:v>
      </x:c>
    </x:row>
    <x:row r="34" ht="42" customHeight="1">
      <x:c r="A34" s="14" t="str">
        <x:v>B</x:v>
      </x:c>
      <x:c r="B34" s="7" t="str">
        <x:v>GLV4-71527C456C2D</x:v>
      </x:c>
      <x:c r="C34" s="7" t="str">
        <x:v>Coral Conservation Plan - Canada.ca</x:v>
      </x:c>
      <x:c r="D34" s="7" t="str"/>
      <x:c r="E34" s="11" t="str"/>
      <x:c r="F34" s="7" t="str">
        <x:v>waves-vagues.dfo-mpo.gc.ca</x:v>
      </x:c>
      <x:c r="G34" s="7" t="str">
        <x:v>report</x:v>
      </x:c>
      <x:c r="H34" s="7" t="str"/>
      <x:c r="I34" s="7" t="str">
        <x:v>https://waves-vagues.dfo-mpo.gc.ca/library-bibliotheque/322312.pdf</x:v>
      </x:c>
      <x:c r="J34" s="7" t="str">
        <x:v>Offshore Petroleum Board (CNSOPB) regulates petroleum activities in Nova Scotia’s offshore. Environmental assessments are conducted in advance of activities to assess potential impact on ecosystem components within the area of their proposed operations. Ecosystem components include special areas and species. Corals are often assessed as an individual Valued Ecosystem Component (VEC) or as a component of the benthic habitat VEC within environmental assessments of drilling operations. Benthic habitat assessments are either done by sample collection, ROV surveys, or extrapolation of data collecte</x:v>
      </x:c>
      <x:c r="K34" s="11" t="str">
        <x:v>YES</x:v>
      </x:c>
      <x:c r="L34" s="7" t="str">
        <x:v>PUBLIC_FULL_DOCUMENT_LOCATION</x:v>
      </x:c>
      <x:c r="M34" s="7" t="str">
        <x:v>https://waves-vagues.dfo-mpo.gc.ca/library-bibliotheque/322312.pdf</x:v>
      </x:c>
      <x:c r="N34" s="7" t="str">
        <x:v>VERIFIED_DIRECT_DOCUMENT_URL</x:v>
      </x:c>
      <x:c r="O34" s="7" t="str">
        <x:v>B02_DEEP_COLD_REVIEW_ASSESSMENT</x:v>
      </x:c>
      <x:c r="P34" s="11" t="str">
        <x:v>MEDIUM</x:v>
      </x:c>
      <x:c r="Q34" s="7" t="str">
        <x:v>Corals, likely deep-sea/cold-water species in Canadian offshore waters, assessed as a Valued Ecosystem Component (VEC).</x:v>
      </x:c>
      <x:c r="R34" s="7" t="str">
        <x:v>Drilling operations, which can generate drill cuttings and drilling muds causing sediment disturbance and deposition.</x:v>
      </x:c>
      <x:c r="S34" s="7" t="str">
        <x:v>Environmental assessments evaluate potential impacts on corals and benthic habitat; the conservation plan provides a framework for management and mitigation.</x:v>
      </x:c>
      <x:c r="T34" s="7" t="str">
        <x:v>Substantive government report/assessment by DFO with a likely focus on sediment-related impacts from offshore drilling on corals, directly relevant to sediment exposure, effects, and mitigation.</x:v>
      </x:c>
      <x:c r="U34" s="7" t="str">
        <x:v>This DFO report is a coral conservation plan for Canadian offshore waters. The abstract explicitly links corals to environmental assessments of drilling operations, which involve sediment disturbance from drill cuttings and muds. The document likely assesses impacts, discusses mitigation, and provides a management context. This qualifies as a substantive government assessment/review with a direct sediment-impact focus, fitting B02. Alternative B01 would require biological/impact evidence, which is not visible in the snippet; CHAIN_ONLY is unnecessary because the record itself has direct coral-sediment relevance.</x:v>
      </x:c>
      <x:c r="V34" s="7" t="str">
        <x:v>ALL_VERIFIED_CSAS</x:v>
      </x:c>
      <x:c r="W34" s="7" t="str">
        <x:v>TBV1-0542</x:v>
      </x:c>
    </x:row>
    <x:row r="35" ht="42" customHeight="1">
      <x:c r="A35" s="14" t="str">
        <x:v>B</x:v>
      </x:c>
      <x:c r="B35" s="7" t="str">
        <x:v>GLV4-7EA12443CBBD</x:v>
      </x:c>
      <x:c r="C35" s="7" t="str">
        <x:v>Coral Consultation Framework NOAA Fisheries Southeast</x:v>
      </x:c>
      <x:c r="D35" s="7" t="str"/>
      <x:c r="E35" s="11" t="str">
        <x:v>2022</x:v>
      </x:c>
      <x:c r="F35" s="7" t="str">
        <x:v>media.fisheries.noaa.gov</x:v>
      </x:c>
      <x:c r="G35" s="7" t="str">
        <x:v>report</x:v>
      </x:c>
      <x:c r="H35" s="7" t="str"/>
      <x:c r="I35" s="7" t="str">
        <x:v>https://media.fisheries.noaa.gov/2022-09/Coral-Species-Framework.pdf</x:v>
      </x:c>
      <x:c r="J35" s="7" t="str">
        <x:v>to prevent sediments from traveling and depositing on the corals Artificial Reef LAA Sedimentation Adult, Juvenile LAA Turbidity All life stages NLAA Direct physical impacts Adult, Juvenile Must follow artificial reef guidelines NLAA Sedimentation Adult, Juvenile Distance from corals, use of turbidity controls to prevent sediments from traveling and depositing on the corals NLAA Turbidity All life stages Distance from corals, use of turbidity controls U.S. Department of Commerce | National Oceanic and Atmospheric Administration | National Marine Fisheries Service 24 Activity Potential Effect D</x:v>
      </x:c>
      <x:c r="K35" s="11" t="str">
        <x:v>YES</x:v>
      </x:c>
      <x:c r="L35" s="7" t="str">
        <x:v>PUBLIC_FULL_DOCUMENT_LOCATION</x:v>
      </x:c>
      <x:c r="M35" s="7" t="str">
        <x:v>https://media.fisheries.noaa.gov/2022-09/Coral-Species-Framework.pdf</x:v>
      </x:c>
      <x:c r="N35" s="7" t="str">
        <x:v>VERIFIED_DIRECT_DOCUMENT_URL</x:v>
      </x:c>
      <x:c r="O35" s="7" t="str">
        <x:v>B02_DEEP_COLD_REVIEW_ASSESSMENT</x:v>
      </x:c>
      <x:c r="P35" s="11" t="str">
        <x:v>MEDIUM</x:v>
      </x:c>
      <x:c r="Q35" s="7" t="str">
        <x:v>Corals (likely including deep-sea coral species within NOAA Fisheries Southeast region)</x:v>
      </x:c>
      <x:c r="R35" s="7" t="str">
        <x:v>Sedimentation, turbidity, sediments traveling and depositing on corals; direct physical impacts from activities such as artificial reefs</x:v>
      </x:c>
      <x:c r="S35" s="7" t="str">
        <x:v>Assessment of effects on adults, juveniles, and all life stages; impacts include sedimentation and turbidity with mitigation measures (e.g., distance from corals, turbidity controls)</x:v>
      </x:c>
      <x:c r="T35" s="7" t="str">
        <x:v>B02_DEEP_COLD_REVIEW_ASSESSMENT - Substantive government regulatory assessment (NOAA Fisheries consultation framework) with direct sediment-impact focus and clear potential to inform effects, exposure, thresholds, vulnerability, mitigation, or recovery for corals.</x:v>
      </x:c>
      <x:c r="U35" s="7" t="str">
        <x:v>The document is a NOAA Fisheries Southeast coral consultation framework, a substantive regulatory assessment. The snippet explicitly addresses sediment pathways: preventing sediments from depositing on corals, sedimentation, turbidity, and direct physical impacts, with effects on adults, juveniles, and all life stages. This meets B02 as a regulatory assessment with direct sediment-impact focus. The closest alternative is B05, but the document is specifically coral-focused rather than a broad across-taxa sediment synthesis. It is included with MEDIUM confidence because the snippet does not explicitly state deep/cold versus tropical, but the Southeast region includes deep-sea corals and the framework's sediment impact information is relevant.</x:v>
      </x:c>
      <x:c r="V35" s="7" t="str">
        <x:v>ALL_VERIFIED_NON_TROPICAL_TIER_B_INCLUSIONS</x:v>
      </x:c>
      <x:c r="W35" s="7" t="str">
        <x:v>TBV1-0487</x:v>
      </x:c>
    </x:row>
    <x:row r="36" ht="42" customHeight="1">
      <x:c r="A36" s="14" t="str">
        <x:v>B</x:v>
      </x:c>
      <x:c r="B36" s="7" t="str">
        <x:v>CWC-2AC814A58B52</x:v>
      </x:c>
      <x:c r="C36" s="7" t="str">
        <x:v>Coral reefs of the turbid inner-shelf of the Great Barrier Reef, Australia: An environmental and geomorphic perspective on their occurrence, composition and growth</x:v>
      </x:c>
      <x:c r="D36" s="7" t="str">
        <x:v>Nicola K. Browne | S Smithers | Chris T. Perry</x:v>
      </x:c>
      <x:c r="E36" s="11" t="str">
        <x:v>2012</x:v>
      </x:c>
      <x:c r="F36" s="7" t="str">
        <x:v>Earth-Science Reviews</x:v>
      </x:c>
      <x:c r="G36" s="7" t="str">
        <x:v>article</x:v>
      </x:c>
      <x:c r="H36" s="7" t="str">
        <x:v>10.1016/j.earscirev.2012.06.006</x:v>
      </x:c>
      <x:c r="I36" s="7" t="str">
        <x:v>https://doi.org/10.1016/j.earscirev.2012.06.006</x:v>
      </x:c>
      <x:c r="J36" s="7" t="str">
        <x:v>Investigations of the geomorphic and sedimentary context in which turbid zone reefs exist, both in the modern and fossil reef record, can inform key ecological debates regarding species tolerances and adaptability to elevated turbidity and sedimentation. Furthermore, these investigations can address critical geological and palaeoecological questions surrounding longer-term coral-sediment interactions and reef growth histories. Here we review current knowledge about turbid zone reefs from the inner-shelf regions of the Great Barrier Reef (GBR) in Australia to consider these issues and to evaluate reef growth in the period prior to and post European settlement. We also consider the future prospects of these reefs under reported changing water quality regimes. Turbid zone reefs on the GBR are relatively well known compared to those in other reef regions. They occur within 20 km of the mainland coast where reef development may be influenced by continual or episodic terrigenous sediment inputs, fluctuating salinities (24-36 ppt), and reduced water quality through increased nutrient and pollutant delivery from urban and agricultural runoff. Individually, and in synergy, these environmental conditions are widely viewed as unfavourable for sustained and vigorous coral reef growth, and thus these reefs are widely perceived as marginal compared to clear water reef systems. However, recent research has revealed that this view is misleading, and that in fact many turbid zone reefs in this region are resilient, exhibit relatively high live coral cover (&gt;30%) and have distinctive community assemblages dominated by fast growing (Acropora, Montipora) and/or sediment tolerant species (Turbinaria, Goniopora, Galaxea, Porites). Palaeoecological reconstructions based on the analysis of reef cores show that community assemblages are relatively stable at millennial timescales, and that many reefs are actively accreting (average 2-7 mm/year) where accommodation space is available, despite recent anthropogenic pressures. These turbid zone reefs challenge traditional views on the environmental conditions required for active reef growth, but given their proximity to land and associated stresses, current knowledge on these less well understood reefs should be synthesised to aid coastal management directives. Terrigenous sediments are a dominant influence on turbid zone reef occurrence, composition and growth, and, therefore, the assessment of their future prospects will require a detailed understanding of the sedimentary regimes under which they occur and of their differential response modes. (C) 2012 Elsevier By. All rights reserved.</x:v>
      </x:c>
      <x:c r="K36" s="11" t="str">
        <x:v>NO</x:v>
      </x:c>
      <x:c r="L36" s="7" t="str">
        <x:v>NOT_CONFIRMED</x:v>
      </x:c>
      <x:c r="M36" s="7" t="str"/>
      <x:c r="N36" s="7" t="str">
        <x:v>VERIFIED_DOI_DOCUMENT</x:v>
      </x:c>
      <x:c r="O36" s="7" t="str">
        <x:v>B05_BROAD_SYNTHESIS_WITH_TARGET_EVIDENCE</x:v>
      </x:c>
      <x:c r="P36" s="11" t="str">
        <x:v>HIGH</x:v>
      </x:c>
      <x:c r="Q36" s="7" t="str">
        <x:v>Corals in turbid inner-shelf reefs of the Great Barrier Reef, including species such as Acropora, Montipora, Turbinaria, Goniopora, Galaxea, and Porites.</x:v>
      </x:c>
      <x:c r="R36" s="7" t="str">
        <x:v>Terrigenous sediment inputs, elevated turbidity, sedimentation, reduced water quality from urban and agricultural runoff.</x:v>
      </x:c>
      <x:c r="S36" s="7" t="str">
        <x:v>Review documents coral occurrence, composition, growth, live coral cover (&gt;30%), community assemblages, reef accretion rates (2-7 mm/year), resilience, and palaeoecological stability.</x:v>
      </x:c>
      <x:c r="T36" s="7" t="str">
        <x:v>This is a broad synthesis/assessment specifically focused on coral reefs and sediment/turbidity effects, providing separate coral evidence relevant to sediment impacts, including tolerances, community composition, and growth responses.</x:v>
      </x:c>
      <x:c r="U36" s="7" t="str">
        <x:v>The article is a substantive review of turbid inner-shelf coral reefs, explicitly addressing sediment and turbidity effects on coral occurrence, composition, and growth. It provides evidence on sediment-tolerant coral species, live cover, and accretion rates, making it directly relevant to Tier B. It is not a direct experimental or measurement study, so B04 does not apply; it fits B05 as a synthesis/assessment with clear coral sediment-impact evidence. The abstract is sufficient to confirm inclusion.</x:v>
      </x:c>
      <x:c r="V36" s="7" t="str">
        <x:v>ALL_VERIFIED_NON_TROPICAL_TIER_B_INCLUSIONS</x:v>
      </x:c>
      <x:c r="W36" s="7" t="str">
        <x:v>TBV1-1063</x:v>
      </x:c>
    </x:row>
    <x:row r="37" ht="42" customHeight="1">
      <x:c r="A37" s="14" t="str">
        <x:v>B</x:v>
      </x:c>
      <x:c r="B37" s="7" t="str">
        <x:v>CWC-EF3F8D07C4C6</x:v>
      </x:c>
      <x:c r="C37" s="7" t="str">
        <x:v>The CORAMM (Coral Risk Assessment, Monitoring and Modelling) Project</x:v>
      </x:c>
      <x:c r="D37" s="7" t="str">
        <x:v>Laurenz Thomsen | Raeid M. M. Abed | Elke Allers | Melanie Bergmann | Dirk de Beer | Sarah Johnsen | Frederik De Laender | Ann I. Larsson | Tomas Lundälv | Tim W. Nattkemper | Ingunn Nilssen | Dick van Oevelen | Jörg Ontrup | Autun Purser | I. Rønning | Mathijs G.D. Smit | Vikram Unnithan | Hannes Wagner | Tingting Wang</x:v>
      </x:c>
      <x:c r="E37" s="11" t="str">
        <x:v>2008</x:v>
      </x:c>
      <x:c r="F37" s="7" t="str">
        <x:v>Helmholtz-Zentrum für Polar-und Meeresforschung (Alfred-Wegener-Institut)</x:v>
      </x:c>
      <x:c r="G37" s="7" t="str">
        <x:v>conference-paper</x:v>
      </x:c>
      <x:c r="H37" s="7" t="str"/>
      <x:c r="I37" s="7" t="str">
        <x:v>https://epic.awi.de/id/eprint/19506/1/Tho2008e.pdf</x:v>
      </x:c>
      <x:c r="J37" s="7" t="str">
        <x:v>CORAMM aims to improve our knowledge of the impacts of high suspended sediment loads and drill cuttings on cold water coral communities. The project is multidisciplinary in approach, with sedimentologists, biologists, modellers and representatives from StatoilHydro all involved in furthering the current understanding of these ecosystems. CORAMM has 4 workpackages: WP1 concentrates on the development of novel video and image analysis tools to enable a better and faster evaluation of Lophelia pertusa community structure and health status. WP2 assembles and further develops sensor systems for environmental monitoring with special emphasis on particle dynamics. These systems can be used as autonomous stand-alone units or can be linked to the internet. WP3 carries out specific experiments with live coral colonies to elucidate and predict the effect of different particle size and microbial composition. WP4 will build advanced ecosystem models for cold water corals and use a physiologybased approach to predict the effect of different sediment loads on the performance of cold water corals. Here, we present the outcome of the first 18 months of research.</x:v>
      </x:c>
      <x:c r="K37" s="11" t="str">
        <x:v>NO</x:v>
      </x:c>
      <x:c r="L37" s="7" t="str">
        <x:v>NOT_CONFIRMED</x:v>
      </x:c>
      <x:c r="M37" s="7" t="str"/>
      <x:c r="N37" s="7" t="str">
        <x:v>VERIFIED_DIRECT_DOCUMENT_URL</x:v>
      </x:c>
      <x:c r="O37" s="7" t="str">
        <x:v>B02_DEEP_COLD_REVIEW_ASSESSMENT</x:v>
      </x:c>
      <x:c r="P37" s="11" t="str">
        <x:v>HIGH</x:v>
      </x:c>
      <x:c r="Q37" s="7" t="str">
        <x:v>Cold-water coral Lophelia pertusa; community structure and health status are central.</x:v>
      </x:c>
      <x:c r="R37" s="7" t="str">
        <x:v>High suspended sediment loads and drill cuttings; particle dynamics; sediment loads of different particle size and microbial composition.</x:v>
      </x:c>
      <x:c r="S37" s="7" t="str">
        <x:v>Monitoring tools (video/image analysis, sensors), experiments with live colonies, and ecosystem modeling to predict effects of sediment loads on coral performance; community health evaluation.</x:v>
      </x:c>
      <x:c r="T37" s="7" t="str">
        <x:v>Substantive conference paper/project report focused directly on sediment impacts on cold-water corals, with clear potential to inform effects, exposure, monitoring, and risk assessment.</x:v>
      </x:c>
      <x:c r="U37" s="7" t="str">
        <x:v>This is a substantive project paper explicitly addressing impacts of high suspended sediment loads and drill cuttings on cold-water coral communities. It describes workpackages that include monitoring community health, sensor development, experimental exposure of live colonies to particle size/microbial composition, and model-based prediction of sediment load effects. This directly qualifies under B02 as a deep/cold coral assessment/monitoring-focused document with a sediment-impact focus. It is not merely a search page or non-substantive webpage. Preferred over B01 because the abstract reports project outcomes rather than detailed biological response data; it is an assessment/project report. Excluded alternatives: no reason to exclude, and it is not chain-only because it has direct coral-sediment content.</x:v>
      </x:c>
      <x:c r="V37" s="7" t="str">
        <x:v>ALL_VERIFIED_NON_TROPICAL_TIER_B_INCLUSIONS</x:v>
      </x:c>
      <x:c r="W37" s="7" t="str">
        <x:v>TBV1-0064</x:v>
      </x:c>
    </x:row>
    <x:row r="38" ht="42" customHeight="1">
      <x:c r="A38" s="14" t="str">
        <x:v>B</x:v>
      </x:c>
      <x:c r="B38" s="7" t="str">
        <x:v>CWC-E507A2C5CF60</x:v>
      </x:c>
      <x:c r="C38" s="7" t="str">
        <x:v>Cytoskeletal architecture, organelle transport, and impulse conduction in hexactinellid sponge syncytia</x:v>
      </x:c>
      <x:c r="D38" s="7" t="str">
        <x:v>Sally P. Leys</x:v>
      </x:c>
      <x:c r="E38" s="11" t="str">
        <x:v>1996</x:v>
      </x:c>
      <x:c r="F38" s="7" t="str">
        <x:v>Library and Archives Canada (Government of Canada)</x:v>
      </x:c>
      <x:c r="G38" s="7" t="str">
        <x:v>dissertation</x:v>
      </x:c>
      <x:c r="H38" s="7" t="str"/>
      <x:c r="I38" s="7" t="str">
        <x:v>http://www.collectionscanada.ca/obj/s4/f2/dsk2/tape16/PQDD_0007/NQ32755.pdf</x:v>
      </x:c>
      <x:c r="J38" s="7" t="str">
        <x:v>Hexactinellid sponges differ substantially from other sponges in having syncytial tissues and the ability to propagate signals rapidly, causing the arrest of the feeding current. To confirm existing light and electron microscopic evidence of the syncytial nature of hexactinellid tissue, live tissue models were developed from Rhabdocalyptus dawsoni and Aphrocallistes vastus. A native acellular tissue extract (ATE) was made from the sponges to which dissociated tissue adhered and spread in a species specific fashion. Video microscopy shows that dissociated tissue from R. dawsoni adheres to the ATE and aggregates by fusion of pieces to form a giant, multinucleated syncytium. Fusion, corroborated by dye exchange, is characterized by the bidirectional transport of organelles, including nuclei, and bulk cytoplasm at an average rate of 2.1 um·S⁻¹. Stress fibres line the periphery of adherent preparations, and giant actindense filopodia appear to anchor tissue to the substrate. Bundles of microtubules (MTs) bridge newly fused aggregates while extensive tracts of MT bundles are oriented in all directions in larger aggregates. Aggregates can become several centimetres in diameter and can cover a 5 cm² petri dish within 6-12 hours. Inhibition of organelle motility by colcemid and nocodazole but not by cytochalasin B suggests that transport occurs along MT bundles. A protein immunoreactive with cytoplasmic dynein was identified in whole cell lysate from A. vastus, and it is suspected the same motor protein exists in R. dawsoni and other hexactinellids. No evidence was found for kinesin, although its presence cannot be ruled out. Ultrastructural evidence suggests that a membranous network may be involved in linking bulk cytoplasm to bundles of microtubules in streams, in a manner similar to the mechanism by which bulk cytoplasm is linked to microfilaments in characean algae. Transport of bulk cytoplasm and movement of individual organelles can also be seen in regenerating fragments of the whole sponge suggesting that cytoplasmic streaming may be involved in tissue morphogenesis. The fact that latex beads that are phagocytosed are also transported in streams indicates that hexactinellid sponges employ symplastic nutrient transport, like plants, rather than apoplastic nutrient transport, like animals. Because fusion and cytoplasmic streaming are features of both Rhabdocalyptus and Aphrocallistes, representatives of lysaccine and dictyonal hexactinellids respectively, it is probable that these phenomena are characteristic of the subphylum Symplasma. Propagated arrests of the feeding current were recorded from Rhabdocalyptus in response to an increase in sediment in the sea water. Development of a new preparation in which aggregates are grafted on to parts of the adult body wall that demonstrate normal pumping physiology, allowed recording of action potentials which propagate through the sponge at 0.18 cm·s⁻¹, simultaneously with the arrest of the feeding current. This is the first recording of a propagated electrical event from a sponge. Impulse conduction in these sponges can be explained by the finding that hexactinellid tissues are syncytial. These results strongly suggest that hexactinellid sponges should be distinguished from other sponges at a high taxonomic level, and pose new questions for the evolution of intracellular transport mechanisms and excitability in the metazoa.</x:v>
      </x:c>
      <x:c r="K38" s="11" t="str">
        <x:v>NO</x:v>
      </x:c>
      <x:c r="L38" s="7" t="str">
        <x:v>NOT_CONFIRMED</x:v>
      </x:c>
      <x:c r="M38" s="7" t="str"/>
      <x:c r="N38" s="7" t="str">
        <x:v>VERIFIED_DIRECT_DOCUMENT_URL</x:v>
      </x:c>
      <x:c r="O38" s="7" t="str">
        <x:v>B01_DEEP_COLD_SEDIMENT_EVIDENCE</x:v>
      </x:c>
      <x:c r="P38" s="11" t="str">
        <x:v>HIGH</x:v>
      </x:c>
      <x:c r="Q38" s="7" t="str">
        <x:v>Hexactinellid (deep-sea/cold-water) sponges Rhabdocalyptus dawsoni and Aphrocallistes vastus.</x:v>
      </x:c>
      <x:c r="R38" s="7" t="str">
        <x:v>Increase in sediment in the sea water.</x:v>
      </x:c>
      <x:c r="S38" s="7" t="str">
        <x:v>Propagated arrests of the feeding current recorded from Rhabdocalyptus in response to sediment increase.</x:v>
      </x:c>
      <x:c r="T38" s="7" t="str">
        <x:v>Direct evidence of a sediment-related physiological response (feeding current arrest) in deep-sea hexactinellid sponges, meeting B01.</x:v>
      </x:c>
      <x:c r="U38" s="7" t="str">
        <x:v>The abstract explicitly reports that propagated arrests of the feeding current were recorded from the deep-sea hexactinellid sponge Rhabdocalyptus in response to an increase in sediment in the sea water. This provides direct biological response evidence for a sediment pathway in a cold-water/deep-sea sponge, satisfying B01. The document is a substantive dissertation. It is preferred over CHAIN_ONLY because it contains direct target evidence, not just references. Confidence is high because the abstract is explicit about the sediment trigger and response.</x:v>
      </x:c>
      <x:c r="V38" s="7" t="str">
        <x:v>ALL_VERIFIED_NON_TROPICAL_TIER_B_INCLUSIONS</x:v>
      </x:c>
      <x:c r="W38" s="7" t="str">
        <x:v>TBV1-0204</x:v>
      </x:c>
    </x:row>
    <x:row r="39" ht="42" customHeight="1">
      <x:c r="A39" s="14" t="str">
        <x:v>B</x:v>
      </x:c>
      <x:c r="B39" s="7" t="str">
        <x:v>CWC-216E188AB7C0</x:v>
      </x:c>
      <x:c r="C39" s="7" t="str">
        <x:v>Damage and recovery of four Philippine corals from short-term sediment burial</x:v>
      </x:c>
      <x:c r="D39" s="7" t="str">
        <x:v>Ineke Wesseling | AJ Uychiaoco | P.M. Aliño | T Aurin | Jan E. Vermaat</x:v>
      </x:c>
      <x:c r="E39" s="11" t="str">
        <x:v>1999</x:v>
      </x:c>
      <x:c r="F39" s="7" t="str">
        <x:v>Marine Ecology Progress Series</x:v>
      </x:c>
      <x:c r="G39" s="7" t="str">
        <x:v>article</x:v>
      </x:c>
      <x:c r="H39" s="7" t="str">
        <x:v>10.3354/meps176011</x:v>
      </x:c>
      <x:c r="I39" s="7" t="str">
        <x:v>https://doi.org/10.3354/meps176011</x:v>
      </x:c>
      <x:c r="J39" s="7" t="str">
        <x:v>Recovery of corals after full burial with littoral sediment (16 % silt, 46 % fine sand and 38 % coarse sand; 28 % CaCO3) was monitored in 2 field experiments at the reefs off Lucero, Bolinao (Pangasinan, NW Philippines), from April to May 1996. In the first experiment at 2 m depth. Porites was buried for 0, 6, 20 and 68 h; a second experiment was done at 5 m depth and 4 common taxa (Porites, Galaxea, Heliopora and Acropora) were buried for 20 h. At 2 m depth, Porites was not affected by 6 h burial compared to the controls that were not buried. Increasing burial time had increasingly more serious effects. Burial for 20 h resulted in increased discoloration of the coral tissue. After 68 h of burial, up to 90 % of the tissue bleached in the first days. About 50 % of this tissue disappeared subsequently and bare coral skeleton became exposed or were covered with algae. After a few weeks, however, recovery took place: the bare areas were recolonized from surrounding surviving tissue or from highly retracted polyps in the affected area. In the corals that had been buried for 20 h no more significant differences from the controls were observed after 3 wk. For those that were buried for 68 h, this was the case after 4 wk. At 5 m depth, all Acropora died after the 20 h burial treatment, but the other taxa recovered in a comparable way to the Porites in the first experiment at 2 m depth. It is concluded that complete burial will cause considerable whole-colony mortality in at least Acropora, and thus may result in a permanent loss of coral taxa from reefs that are subject to such intense sedimentation events. Less sensitive taxa incur substantial damage but significant recovery was observed after a month.</x:v>
      </x:c>
      <x:c r="K39" s="11" t="str">
        <x:v>YES</x:v>
      </x:c>
      <x:c r="L39" s="7" t="str">
        <x:v>FROZEN_PUBLIC_FULL_TEXT_LOCATION</x:v>
      </x:c>
      <x:c r="M39" s="7" t="str">
        <x:v>https://www.int-res.com/articles/meps/176/m176p011.pdf</x:v>
      </x:c>
      <x:c r="N39" s="7" t="str">
        <x:v>VERIFIED_DOI_DOCUMENT</x:v>
      </x:c>
      <x:c r="O39" s="7" t="str">
        <x:v>B04_TROPICAL_PHYSICAL_SEDIMENT_ANALOGUE</x:v>
      </x:c>
      <x:c r="P39" s="11" t="str">
        <x:v>HIGH</x:v>
      </x:c>
      <x:c r="Q39" s="7" t="str">
        <x:v>Four Philippine coral taxa: Porites, Galaxea, Heliopora, Acropora.</x:v>
      </x:c>
      <x:c r="R39" s="7" t="str">
        <x:v>Short-term sediment burial with littoral sediment (16% silt, 46% fine sand, 38% coarse sand; 28% CaCO3) for durations up to 68 h.</x:v>
      </x:c>
      <x:c r="S39" s="7" t="str">
        <x:v>Tissue discoloration, bleaching, tissue loss, whole-colony mortality for Acropora, recovery via recolonization from surviving tissue or retracted polyps within 3-4 weeks.</x:v>
      </x:c>
      <x:c r="T39" s="7" t="str">
        <x:v>Direct experimental test of physical sediment burial on tropical corals, reporting multiple biological responses and recovery, fulfilling B04.</x:v>
      </x:c>
      <x:c r="U39" s="7" t="str">
        <x:v>This is a tropical coral study directly testing short-term sediment burial. It reports damage responses (bleaching, tissue loss, mortality) and recovery for Porites, Galaxea, Heliopora, and Acropora. The physical sediment pathway is explicit (burial) and the biological responses are clearly relevant (mortality, tissue loss, recovery). This meets B04_TROPICAL_PHYSICAL_SEDIMENT_ANALOGUE. It is not B01 because the corals are tropical, not deep-sea/cold-water. It is not B03 because the study is tropical, not non-tropical. The abstract provides strong evidence, so confidence is high and full text is not needed for screening.</x:v>
      </x:c>
      <x:c r="V39" s="7" t="str">
        <x:v>SPARING_TOP_25_TROPICAL_DIRECT_PHYSICAL_ANALOGUES</x:v>
      </x:c>
      <x:c r="W39" s="7" t="str">
        <x:v>TBV1-1022</x:v>
      </x:c>
    </x:row>
    <x:row r="40" ht="42" customHeight="1">
      <x:c r="A40" s="14" t="str">
        <x:v>B</x:v>
      </x:c>
      <x:c r="B40" s="7" t="str">
        <x:v>CWC-EF237ECA1903</x:v>
      </x:c>
      <x:c r="C40" s="7" t="str">
        <x:v>Deep-sea environment and biodiversity of the West African Equatorial margin</x:v>
      </x:c>
      <x:c r="D40" s="7" t="str">
        <x:v>Myriam Sibuet | Annick Vangriesheim</x:v>
      </x:c>
      <x:c r="E40" s="11" t="str">
        <x:v>2009</x:v>
      </x:c>
      <x:c r="F40" s="7" t="str">
        <x:v>Deep Sea Research Part II Topical Studies in Oceanography</x:v>
      </x:c>
      <x:c r="G40" s="7" t="str">
        <x:v>article</x:v>
      </x:c>
      <x:c r="H40" s="7" t="str">
        <x:v>10.1016/j.dsr2.2009.04.015</x:v>
      </x:c>
      <x:c r="I40" s="7" t="str">
        <x:v>https://doi.org/10.1016/j.dsr2.2009.04.015</x:v>
      </x:c>
      <x:c r="J40" s="7" t="str">
        <x:v>The long-term BIOZAIRE multidisciplinary deep-sea environmental program on the West Equatorial African margin organized in partnership between Ifremer and TOTAL aimed at characterizing the benthic community structure in relation with physical and chemical processes in a region of oil and gas interest. The morphology of the deep Congo submarine channel and the sedimentological structures of the deep-sea fan were established during the geological ZAIANGO project and helped to select study sites ranging from 350 to 4800 m water depth inside or near the channel and away from its influence. Ifremer conducted eight deep-sea cruises on board research vessels between 2000 and 2005. Standardized methods of sampling together with new technologies such as the ROV Victor 6000 and its associated instrumentation were used to investigate this poorly known continental margin. In addition to the study of sedimentary environments more or less influenced by turbidity events, the discovery of one of the largest cold seeps near the Congo channel and deep coral reefs extends our knowledge of the different habitats of this margin. This paper presents the background, objectives and major results of the BIOZAIRE Program. It highlights the work achieved in the 16 papers in this special issue. This synthesis paper describes the knowledge acquired at a regional and local scale of the Equatorial East Atlantic margin, and tackles new interdisciplinary questions to be answered in the various domains of physics, chemistry, taxonomy and ecology to better understand the deep-sea environment in the Gulf of Guinea. (C) 2009 Elsevier Ltd. All rights reserved.</x:v>
      </x:c>
      <x:c r="K40" s="11" t="str">
        <x:v>YES</x:v>
      </x:c>
      <x:c r="L40" s="7" t="str">
        <x:v>FROZEN_PUBLIC_FULL_TEXT_LOCATION</x:v>
      </x:c>
      <x:c r="M40" s="7" t="str">
        <x:v>https://archimer.ifremer.fr/doc/00000/7349/6532.pdf</x:v>
      </x:c>
      <x:c r="N40" s="7" t="str">
        <x:v>VERIFIED_DOI_DOCUMENT</x:v>
      </x:c>
      <x:c r="O40" s="7" t="str">
        <x:v>B02_DEEP_COLD_REVIEW_ASSESSMENT</x:v>
      </x:c>
      <x:c r="P40" s="11" t="str">
        <x:v>MEDIUM</x:v>
      </x:c>
      <x:c r="Q40" s="7" t="str">
        <x:v>Cold-water corals (deep coral reefs) and associated benthic communities.</x:v>
      </x:c>
      <x:c r="R40" s="7" t="str">
        <x:v>Sedimentary environments influenced by turbidity events; sedimentological structures on the deep-sea fan.</x:v>
      </x:c>
      <x:c r="S40" s="7" t="str">
        <x:v>Characterization of benthic community structure and biodiversity in relation to physical/chemical processes; discovery and habitat characterization of deep coral reefs.</x:v>
      </x:c>
      <x:c r="T40" s="7" t="str">
        <x:v>A substantive deep-sea synthesis/review from the BIOZAIRE program with a direct focus on sedimentary environments and benthic communities, including deep coral reefs, in an oil and gas region.</x:v>
      </x:c>
      <x:c r="U40" s="7" t="str">
        <x:v>This article is a synthesis of the BIOZAIRE deep-sea program on the West Equatorial African margin, an oil/gas interest area. It explicitly describes sedimentary environments influenced by turbidity events and reports on benthic community structure and the discovery of deep coral reefs. As a substantive deep/cold review with a sediment-impact focus, it meets B02 by providing regional assessment context for sediment effects on cold-water corals and benthic communities. The closest alternative is CHAIN_ONLY, but the abstract's direct attention to turbidity-influenced sediments and deep coral habitats provides enough substantive content for inclusion, not merely reference mining. Confidence is MEDIUM because the supplied abstract does not yet specify quantitative coral responses, but the review clearly has the potential to inform sediment impact understanding.</x:v>
      </x:c>
      <x:c r="V40" s="7" t="str">
        <x:v>ALL_VERIFIED_CENTRAL_PEER_REVIEWED</x:v>
      </x:c>
      <x:c r="W40" s="7" t="str">
        <x:v>TBV1-0136</x:v>
      </x:c>
    </x:row>
    <x:row r="41" ht="42" customHeight="1">
      <x:c r="A41" s="14" t="str">
        <x:v>B</x:v>
      </x:c>
      <x:c r="B41" s="7" t="str">
        <x:v>CWC-1FB45616D3F7</x:v>
      </x:c>
      <x:c r="C41" s="7" t="str">
        <x:v>Deep-sea sponge grounds</x:v>
      </x:c>
      <x:c r="D41" s="7" t="str"/>
      <x:c r="E41" s="11" t="str"/>
      <x:c r="F41" s="7" t="str"/>
      <x:c r="G41" s="7" t="str">
        <x:v>thesis_or_dissertation</x:v>
      </x:c>
      <x:c r="H41" s="7" t="str"/>
      <x:c r="I41" s="7" t="str">
        <x:v>https://pure.uva.nl/ws/files/1302977/93777_Deep_sea_sponge_grounds.pdf</x:v>
      </x:c>
      <x:c r="J41" s="7" t="str">
        <x:v>Drill cuttings: Inert pieces of rock, gravel and sand removed from a well during drilling. Drilling fluid/drilling mud: Fluid pumped down a well bore during drilling; has multiple functions such as to cool and lubricate the drill, inhibit corrosion and remove drill cut -tings from the hole. Ecological engineering: The ability of certain marine organisms such as corals and sponges to form or modify structural habitat. [...] the sediment, some even grow on other sponges: Tetilla leptoderma, for example, can grow on Rossella nuda and Anoxycalyx joubini. Some hexactinellid sponge species are known</x:v>
      </x:c>
      <x:c r="K41" s="11" t="str">
        <x:v>YES</x:v>
      </x:c>
      <x:c r="L41" s="7" t="str">
        <x:v>FROZEN_PUBLIC_FULL_TEXT_LOCATION</x:v>
      </x:c>
      <x:c r="M41" s="7" t="str">
        <x:v>https://pure.uva.nl/ws/files/1302977/93777_Deep_sea_sponge_grounds.pdf</x:v>
      </x:c>
      <x:c r="N41" s="7" t="str">
        <x:v>VERIFIED_DIRECT_DOCUMENT_URL</x:v>
      </x:c>
      <x:c r="O41" s="7" t="str">
        <x:v>B02_DEEP_COLD_REVIEW_ASSESSMENT</x:v>
      </x:c>
      <x:c r="P41" s="11" t="str">
        <x:v>MEDIUM</x:v>
      </x:c>
      <x:c r="Q41" s="7" t="str">
        <x:v>Deep-sea sponges (e.g., Tetilla leptoderma, Rossella nuda, Anoxycalyx joubini)</x:v>
      </x:c>
      <x:c r="R41" s="7" t="str">
        <x:v>Sediment, drill cuttings, drilling fluid/drilling mud, and associated physical disturbance</x:v>
      </x:c>
      <x:c r="S41" s="7" t="str">
        <x:v>Assessment of sediment-related threats to deep-sea sponge grounds, including ecological engineering and habitat modification</x:v>
      </x:c>
      <x:c r="T41" s="7" t="str">
        <x:v>Substantive thesis focused on deep-sea sponge grounds, with explicit discussion of drilling mud and drill cuttings as stressors, and clear potential to inform effects, vulnerability, or mitigation for deep-sea sponge communities.</x:v>
      </x:c>
      <x:c r="U41" s="7" t="str">
        <x:v>This record is a thesis (dissertation) on deep-sea sponge grounds, which is a substantive document. The abstract/snippet includes definitions of drill cuttings and drilling mud, indicating a direct sediment-related impact focus. It names sponge taxa and discusses ecological engineering, suggesting biological/ecological assessment of sediment effects on cold-water sponges. Therefore it meets Tier B pathway B02 for a thesis with a direct sediment-impact focus. It is preferable to B01 because the snippet points to a review/assessment orientation rather than reporting a specific empirical response, though full text may refine this. It is not EXCLUDE because the sediment pathway and sponge focus are explicit, and it is not CHAIN_ONLY since there is direct relevance to sediment impacts on sponges.</x:v>
      </x:c>
      <x:c r="V41" s="7" t="str">
        <x:v>ALL_VERIFIED_NON_TROPICAL_TIER_B_INCLUSIONS</x:v>
      </x:c>
      <x:c r="W41" s="7" t="str">
        <x:v>TBV1-0207</x:v>
      </x:c>
    </x:row>
    <x:row r="42" ht="42" customHeight="1">
      <x:c r="A42" s="14" t="str">
        <x:v>B</x:v>
      </x:c>
      <x:c r="B42" s="7" t="str">
        <x:v>CWC-6559B5FFFCED</x:v>
      </x:c>
      <x:c r="C42" s="7" t="str">
        <x:v>Deep-water Oculina coral reefs of Florida: biology, impacts, and management</x:v>
      </x:c>
      <x:c r="D42" s="7" t="str">
        <x:v>John K. Reed</x:v>
      </x:c>
      <x:c r="E42" s="11" t="str">
        <x:v>2002</x:v>
      </x:c>
      <x:c r="F42" s="7" t="str">
        <x:v>Hydrobiologia</x:v>
      </x:c>
      <x:c r="G42" s="7" t="str">
        <x:v>article</x:v>
      </x:c>
      <x:c r="H42" s="7" t="str">
        <x:v>10.1023/a:1016588901551</x:v>
      </x:c>
      <x:c r="I42" s="7" t="str">
        <x:v>https://doi.org/10.1023/a:1016588901551</x:v>
      </x:c>
      <x:c r="J42" s="7" t="str">
        <x:v>Deep-water Oculina coral reefs, which are similar in structure and development to deep-water Lophelia reefs, stretch over 167 km (90 nmi) at depths of 70-100 m along the eastern Florida shelf of the United States. These consist of numerous pinnacles and ridges, 3-35 m in height. Coral growth rates average 16.1 mm yr(-1) and biodiversity is very rich. Extensive areas of Oculina rubble may be due to human impacts (e.g. fish trawling and dredging, anchoring, bottom longlines) and natural processes such as bioerosion and episodic die-off. Early in the 1970s, the reefs were teeming with fish. By the early 1990s, both commercial and recreational fisheries, including scallop, shrimp, grouper, snapper and amberjack, had taken a toll on the reefs and especially on populations of grouper and snapper. A 315 km(2) (92 nmi(2)) area was designated the Oculina Habitat of Particular Concern (HAPC) in 1984, prohibiting trawling, dredging, bottom longlines and anchoring, and legislation was enacted in 2000 for expansion of the Oculina HAPC to 1029 km(2) (300 nmi(2)). The United States Coast Guard has been charged with surveillance and enforcement of the ban on bottom fishing and trawling. The primary difficulties in protecting these reefs and other deep-water Marine Protected Areas are their remoteness and time required to engage an enforcement vessel. Education regarding the nature and importance of these rich resources is important for better self regulation and surveillance by the fishing community. Only by bringing deep-water reefs to the public, the fishing community, and enforcement agencies, through video, photos, and education will there be better understanding and acceptance for the need of protection for these unseen resources. This paper reviews the current knowledge on the deep-water Oculina reefs, including the biology, geology, human impacts, and history of conservation and management.</x:v>
      </x:c>
      <x:c r="K42" s="11" t="str">
        <x:v>NO</x:v>
      </x:c>
      <x:c r="L42" s="7" t="str">
        <x:v>NOT_CONFIRMED</x:v>
      </x:c>
      <x:c r="M42" s="7" t="str"/>
      <x:c r="N42" s="7" t="str">
        <x:v>VERIFIED_DOI_DOCUMENT</x:v>
      </x:c>
      <x:c r="O42" s="7" t="str">
        <x:v>B01_DEEP_COLD_SEDIMENT_EVIDENCE</x:v>
      </x:c>
      <x:c r="P42" s="11" t="str">
        <x:v>HIGH</x:v>
      </x:c>
      <x:c r="Q42" s="7" t="str">
        <x:v>Deep-water Oculina coral (Oculina varicosa) forming reefs at 70-100 m on the eastern Florida shelf.</x:v>
      </x:c>
      <x:c r="R42" s="7" t="str">
        <x:v>Explicit human impact pathway: fish trawling and dredging, anchoring, bottom longlines; dredging is a sediment-related activity causing physical disturbance and potential sediment suspension/deposition.</x:v>
      </x:c>
      <x:c r="S42" s="7" t="str">
        <x:v>Extensive areas of Oculina rubble, episodic die-off, and degraded fish populations; review of biology, geology, human impacts, and conservation/management, with potential to inform effects and mitigation.</x:v>
      </x:c>
      <x:c r="T42" s="7" t="str">
        <x:v>Deep-water coral source with an explicit dredging pathway and impact evidence (rubble, die-off), fitting B01 as a deep/cold sediment-related evidence record.</x:v>
      </x:c>
      <x:c r="U42" s="7" t="str">
        <x:v>This is a deep-water Oculina coral reef review that explicitly identifies dredging among human impacts causing coral rubble and die-off. Dredging is a sediment pathway (B01). The record provides impact evidence for a deep/cold coral, and being a review it synthesizes effects relevant to management. It is preferable to B02 because the abstract does not establish a direct sediment-impact focus beyond mentioning dredging as one of several impacts; B01 directly captures the explicit sediment-related pathway. It is not CHAIN_ONLY because the supplied material already contains sufficient coral–sediment impact evidence. Excluded alternatives (e.g., X02) do not apply because dredging is a recognized sediment pathway.</x:v>
      </x:c>
      <x:c r="V42" s="7" t="str">
        <x:v>ALL_VERIFIED_CENTRAL_PEER_REVIEWED</x:v>
      </x:c>
      <x:c r="W42" s="7" t="str">
        <x:v>TBV1-0051</x:v>
      </x:c>
    </x:row>
    <x:row r="43" ht="42" customHeight="1">
      <x:c r="A43" s="14" t="str">
        <x:v>B</x:v>
      </x:c>
      <x:c r="B43" s="7" t="str">
        <x:v>CWC-D0DB0DCA6CA8</x:v>
      </x:c>
      <x:c r="C43" s="7" t="str">
        <x:v>Detecting sedimentation impacts to coral reefs resulting from dredging the Port of Miami, Florida USA</x:v>
      </x:c>
      <x:c r="D43" s="7" t="str">
        <x:v>Margaret W. Miller | Jocelyn Karazsia | Carolyn Groves | Sean Griffin | Tom Moore | Pace Wilber | Kurtis Gregg</x:v>
      </x:c>
      <x:c r="E43" s="11" t="str">
        <x:v>2016</x:v>
      </x:c>
      <x:c r="F43" s="7" t="str">
        <x:v>PeerJ</x:v>
      </x:c>
      <x:c r="G43" s="7" t="str">
        <x:v>article</x:v>
      </x:c>
      <x:c r="H43" s="7" t="str">
        <x:v>10.7717/peerj.2711</x:v>
      </x:c>
      <x:c r="I43" s="7" t="str">
        <x:v>https://doi.org/10.7717/peerj.2711</x:v>
      </x:c>
      <x:c r="J43" s="7" t="str">
        <x:v>The federal channel at Port of Miami, Florida, USA, was dredged between late 2013 and early 2015 to widen and deepen the channel. Due to the limited spatial extent of impact-assessment monitoring associated with the project, the extent of the dredging impacts on surrounding coral reefs has not been well quantified. Previously published remote sensing analyses, as well as agency and anecdotal reports suggest the most severe and largest area of sedimentation occurred on a coral reef feature referred to as the Inner Reef, particularly in the sector north of the channel. A confounding regional warm-water mass bleaching event followed by a coral disease outbreak during this same time frame made the assessment of dredging-related impacts to coral reefs adjacent to the federal channel difficult but still feasible. The current study sought to better understand the sedimentation impacts that occurred in the coral reef environment surrounding Port of Miami, to distinguish those impacts from other regional events or disturbances, and provide supplemental information on impact assessment that will inform discussions on compensatory mitigation requirements. To this end, in-water field assessments conducted after the completion of dredging and a time series analysis of tagged corals photographed pre-, during, and post-dredging, are used to discern dredging-related sedimentation impacts for the Inner Reef north. Results indicate increased sediment accumulation, severe in certain times and places, and an associated biological response (e.g., higher prevalence of partial mortality of corals) extended up to 700 m from the channel, whereas project-associated monitoring was limited to 50 m from the channel. These results can contribute to more realistic prediction of areas of indirect effect from dredging projects needed to accurately evaluate proposed projects and design appropriate compliance monitoring. Dredging projects near valuable and sensitive habitats subject to local and global stressors require monitoring methods capable of discerning non-dredging related impacts and adaptive management to ensure predicted and unpredicted project-related impacts are quantified. Anticipated increasing frequency and intensity of seasonal warming stress also suggests that manageable- but- unavoidable local stressors such as dredging should be partitioned from such seasonal thermal stress events.</x:v>
      </x:c>
      <x:c r="K43" s="11" t="str">
        <x:v>YES</x:v>
      </x:c>
      <x:c r="L43" s="7" t="str">
        <x:v>FROZEN_PUBLIC_FULL_TEXT_LOCATION</x:v>
      </x:c>
      <x:c r="M43" s="7" t="str"/>
      <x:c r="N43" s="7" t="str">
        <x:v>VERIFIED_DOI_DOCUMENT</x:v>
      </x:c>
      <x:c r="O43" s="7" t="str">
        <x:v>B04_TROPICAL_PHYSICAL_SEDIMENT_ANALOGUE</x:v>
      </x:c>
      <x:c r="P43" s="11" t="str">
        <x:v>HIGH</x:v>
      </x:c>
      <x:c r="Q43" s="7" t="str">
        <x:v>Tropical coral reef corals on the Inner Reef adjacent to Port of Miami; tagged corals monitored pre-, during, and post-dredging.</x:v>
      </x:c>
      <x:c r="R43" s="7" t="str">
        <x:v>Sedimentation from dredging the Port of Miami federal channel; increased sediment accumulation measured in water and on corals, with effects up to 700 m from the channel.</x:v>
      </x:c>
      <x:c r="S43" s="7" t="str">
        <x:v>Higher prevalence of partial mortality of corals associated with sediment accumulation; study assesses dredging-related sedimentation impacts and distinguishes them from regional bleaching/disease events.</x:v>
      </x:c>
      <x:c r="T43" s="7" t="str">
        <x:v>This is a tropical coral study that directly evaluates physical sediment exposure from dredging and quantifies biological responses, meeting the broader B04 analogue criterion for physical sediment pathways and relevant coral responses.</x:v>
      </x:c>
      <x:c r="U43" s="7" t="str">
        <x:v>The record is a substantive peer-reviewed article using in-water assessments and time-series photography of tagged corals to document dredging-related sedimentation and associated partial mortality. It clearly involves tropical corals, a physical sediment pathway (dredging plume and accumulation), and biological/ecological responses (partial mortality, coral condition). This fits B04_TROPICAL_PHYSICAL_SEDIMENT_ANALOGUE, which encompasses tropical studies directly measuring or testing physical sediment exposure and reporting relevant biological responses. It is not B01/B02/B03 because it is neither deep-sea/cold-water nor non-tropical. It is not merely a broad benthic study because coral-specific evidence is central. The abstract provides sufficient detail, so confidence is high and full-text is not required.</x:v>
      </x:c>
      <x:c r="V43" s="7" t="str">
        <x:v>FORCED_SEED_B009</x:v>
      </x:c>
      <x:c r="W43" s="7" t="str">
        <x:v>TBV1-0001</x:v>
      </x:c>
    </x:row>
    <x:row r="44" ht="42" customHeight="1">
      <x:c r="A44" s="14" t="str">
        <x:v>B</x:v>
      </x:c>
      <x:c r="B44" s="7" t="str">
        <x:v>CWC-CBED2EBBD4BB</x:v>
      </x:c>
      <x:c r="C44" s="7" t="str">
        <x:v>Discovery of a giant cold-water coral mound province along the northern Argentine margin and its link to the regional Contourite Depositional System and oceanographic setting</x:v>
      </x:c>
      <x:c r="D44" s="7" t="str">
        <x:v>Lena Steinmann | Michèle Baqués | Stefan Wenau | Tilmann Schwenk | V. Spieß | Alberto Piola | Graziella Bozzano | Roberto A. Violante | Sabine Kasten</x:v>
      </x:c>
      <x:c r="E44" s="11" t="str">
        <x:v>2020</x:v>
      </x:c>
      <x:c r="F44" s="7" t="str">
        <x:v>Marine Geology</x:v>
      </x:c>
      <x:c r="G44" s="7" t="str">
        <x:v>article</x:v>
      </x:c>
      <x:c r="H44" s="7" t="str">
        <x:v>10.1016/j.margeo.2020.106223</x:v>
      </x:c>
      <x:c r="I44" s="7" t="str">
        <x:v>https://doi.org/10.1016/j.margeo.2020.106223</x:v>
      </x:c>
      <x:c r="J44" s="7" t="str">
        <x:v>Abstract In the southern oceans, only a few cold-water coral mound sites have so far been reported compared to the extensively surveyed North Atlantic. Here, we document for the first time the widespread occurrence of exposed and buried coral mounds at the northern Argentine margin named Northern Argentine Mound Province (NAMP). The integration of multibeam bathymetry, sediment echosounder, Acoustic Doppler Current Profiler (ADCP), and CTD data allowed the characterisation of its morphosedimentary, stratigraphic, and hydrodynamic setting. The NAMP, covering at least 2000 km2, represents the largest coral mound province in terms of areal extent reported so far and a major site in the southern oceans. The coral mound distribution is directly linked to morphosedimentary features of the regional Contourite Depositional System (CDS) influenced by the Antarctic Intermediate Water (AAIW), the Upper Circumpolar Deep Water (UCDW), and their interface, forming a complex bottom-current-controlled environment here termed Coral-Contourite System. Coral mounds are most abundant in the lower AAIW between 900 and 1050 m, just above the Ewing Terrace Moat, which has been shaped by high-velocity currents associated with the AAIW-UCDW boundary. This clustering appears to be the result of an increased concentration of suspended sediment and food particles, transported along the AAIW-UCDW density gradient and delivered upward by turbulent hydrodynamic processes, which are enhanced by the irregular moat topography. Within the Ewing Terrace Moat, coral mounds are restricted to topographic obstacles, modifying the otherwise highly erosive, destructive hydrodynamic regime and thereby locally creating favourable conditions for coral growth. The low-velocity currents of the UCDW, currently influencing the Ewing Terrace, promote extensive contourite deposition, which has led to a progressive demise and burial of pre-existing mounds. The presence of these buried mounds suggests past mound aggradation 100 to 150 m deeper likely due to a downward shift of the AAIW during glacials as a consequence of sea-level lowering. Overall, the mound formation in the NAMP seems to be mainly controlled by the availability of suspended particles, in combination with a sufficient bottom-current strength, keeping material in suspension while preventing destructive erosion and excessive sedimentation. Our study highlights (1) the importance of high-energy processes at water-mass boundaries for the delivery of sediment and food particles to corals, (2) the role of the AAIW as a crucial water mass for coral mound development, (3) the variability of mounds in response to glacial-interglacial cycles, and (4) the potential of CDSs in general and the Argentine margin in particular as hotspots for coral mounds and, thus, ideal site for future studies.</x:v>
      </x:c>
      <x:c r="K44" s="11" t="str">
        <x:v>YES</x:v>
      </x:c>
      <x:c r="L44" s="7" t="str">
        <x:v>FROZEN_PUBLIC_FULL_TEXT_LOCATION</x:v>
      </x:c>
      <x:c r="M44" s="7" t="str">
        <x:v>http://hdl.handle.net/11336/168888</x:v>
      </x:c>
      <x:c r="N44" s="7" t="str">
        <x:v>VERIFIED_DOI_DOCUMENT</x:v>
      </x:c>
      <x:c r="O44" s="7" t="str">
        <x:v>B01_DEEP_COLD_SEDIMENT_EVIDENCE</x:v>
      </x:c>
      <x:c r="P44" s="11" t="str">
        <x:v>HIGH</x:v>
      </x:c>
      <x:c r="Q44" s="7" t="str">
        <x:v>Cold-water corals (coral mounds) along the northern Argentine margin; species not specified.</x:v>
      </x:c>
      <x:c r="R44" s="7" t="str">
        <x:v>Suspended sediment and food particles, bottom-current strength, contourite deposition, burial/sedimentation.</x:v>
      </x:c>
      <x:c r="S44" s="7" t="str">
        <x:v>Coral mound distribution, clustering, demise and burial due to excessive sedimentation; inferred control by suspended particle availability; past aggradation shifts.</x:v>
      </x:c>
      <x:c r="T44" s="7" t="str">
        <x:v>Deep/cold-water coral source with explicit sediment pathway (suspended particles, deposition, burial) and indirect ecological/impact evidence (mound demise, favorable growth conditions).</x:v>
      </x:c>
      <x:c r="U44" s="7" t="str">
        <x:v>This record documents a cold-water coral mound province and analyzes its relationship to suspended sediment transport, bottom currents, and contourite deposition. The abstract explicitly links coral mound distribution to suspended particle availability and indicates that excessive sedimentation leads to mound burial and demise, which is an indirect biological/impact response. This qualifies under B01 as deep-cold sediment evidence. Exclusions do not apply because corals are the target, the sediment pathway is explicit, and a response (burial/demise) is reported, albeit geomorphically rather than organism-level. CHAIN_ONLY would be considered if content lacked direct coral-sediment content, but here the link is central. Confidence high.</x:v>
      </x:c>
      <x:c r="V44" s="7" t="str">
        <x:v>ALL_VERIFIED_CENTRAL_PEER_REVIEWED</x:v>
      </x:c>
      <x:c r="W44" s="7" t="str">
        <x:v>TBV1-0016</x:v>
      </x:c>
    </x:row>
    <x:row r="45" ht="42" customHeight="1">
      <x:c r="A45" s="14" t="str">
        <x:v>B</x:v>
      </x:c>
      <x:c r="B45" s="7" t="str">
        <x:v>CWC-899E921C1546</x:v>
      </x:c>
      <x:c r="C45" s="7" t="str">
        <x:v>Dispersion of Drilling Discharges : A comparison of two dispersion models and consequences for the risk picture of cold water corals</x:v>
      </x:c>
      <x:c r="D45" s="7" t="str">
        <x:v>Josefin Svensson</x:v>
      </x:c>
      <x:c r="E45" s="11" t="str">
        <x:v>2013</x:v>
      </x:c>
      <x:c r="F45" s="7" t="str">
        <x:v>KTH Publication Database DiVA (KTH Royal Institute of Technology)</x:v>
      </x:c>
      <x:c r="G45" s="7" t="str">
        <x:v>dissertation</x:v>
      </x:c>
      <x:c r="H45" s="7" t="str"/>
      <x:c r="I45" s="7" t="str">
        <x:v>http://urn.kb.se/resolve?urn=urn:nbn:se:uu:diva-210077</x:v>
      </x:c>
      <x:c r="J45" s="7" t="str">
        <x:v>One of the ocean’s greatest resources is the coral reefs, providing unique habitats for alarge variety of organisms. During drilling operations offshore many activities maypotentially harm these sensitive habitats. Det Norske Veritas (DNV) has developed arisk-based approach for planning of drilling operations called Coral Risk Assessment (CRA) to reduce the risk of negative effects upon cold water corals (Lophelia pertusa) on the Norwegian Continental Shelf (NCS). In order to get a good risk assessment amodelled dispersion plume of the drilling discharges is recommended. This study concerned a drilling case at the Pumbaa field (NOCS 6407/12-2) on the NCS, and used two different dispersion models, the DREAM model and the MUDFATE model in order to investigate how to perform good risk assessments. In the drill planning process a decision to move the discharge location 300 m north-west from the actual drilling location and reducing the amount of drilling discharges, was made inorder to reduce the risk for the coral targets in the area. The CRA analysis indicated that these decisions minimised the risk for the corals, and showed that the environmentalactions in the drill planning processes are necessary in order to reduce the risk for the coral targets and that the analysis method is a preferable tool to use. The amount of discharges, the ocean current data, the discharge location and the condition of the coral targets are the factors having the most important impact on the CRA results. From monitoring analysis from the case of study, it can be seen that a pile builds up around the discharge location. The dispersion models do not seem to take into account this build-up of a pile and thereby overestimate the dispersion of drilling discharges. This observation was done when modelled barite deposit was compared with barium concentrations measured in the sediment after the drilling operation. The overestimationis the case for the DREAM model, but has not been seen in the simulations with the MUDFATE model. Results from the modelling also indicated a higher overestimation for the DREAM model when using a cutting transport system (CTS) to release thedrilling discharges compared to release the discharges without using the CTS.</x:v>
      </x:c>
      <x:c r="K45" s="11" t="str">
        <x:v>NO</x:v>
      </x:c>
      <x:c r="L45" s="7" t="str">
        <x:v>NOT_CONFIRMED</x:v>
      </x:c>
      <x:c r="M45" s="7" t="str"/>
      <x:c r="N45" s="7" t="str">
        <x:v>VERIFIED_BIBLIOGRAPHIC_DOCUMENT</x:v>
      </x:c>
      <x:c r="O45" s="7" t="str">
        <x:v>B02_DEEP_COLD_REVIEW_ASSESSMENT</x:v>
      </x:c>
      <x:c r="P45" s="11" t="str">
        <x:v>MEDIUM</x:v>
      </x:c>
      <x:c r="Q45" s="7" t="str">
        <x:v>Cold-water corals, specifically Lophelia pertusa, on the Norwegian Continental Shelf.</x:v>
      </x:c>
      <x:c r="R45" s="7" t="str">
        <x:v>Drilling discharges, including drill cuttings and drilling muds; dispersion plume modelling; barite deposition and sediment build-up.</x:v>
      </x:c>
      <x:c r="S45" s="7" t="str">
        <x:v>Risk assessment (Coral Risk Assessment) for cold-water corals; monitoring analysis of barium concentrations in sediment; evaluation of mitigation measures (moving discharge location, reducing discharge volume) and potential negative effects on corals.</x:v>
      </x:c>
      <x:c r="T45" s="7" t="str">
        <x:v>Substantive thesis with direct sediment-impact focus on cold-water corals, evaluating dispersion models and risk assessment for drilling discharges.</x:v>
      </x:c>
      <x:c r="U45" s="7" t="str">
        <x:v>This thesis addresses dispersion of drilling discharges and consequences for cold-water corals (Lophelia pertusa) on the Norwegian Continental Shelf. It evaluates the Coral Risk Assessment framework and compares two dispersion models (DREAM and MUDFATE) for a drilling case at Pumbaa field. The sediment pathway is explicit: drilling discharges, barite deposition, and sediment build-up near the discharge location. The document provides risk-assessment and monitoring evidence, including comparison of modelled barite deposition with measured barium concentrations in sediment, and discusses mitigation (moving discharge location, reducing discharge volume). This qualifies as a substantive thesis with direct sediment-impact focus under B02_DEEP_COLD_REVIEW_ASSESSMENT. B01 also applies, but B02 is more precise because the document is a thesis/assessment focused on risk modelling and monitoring rather than a direct organism-response study. The closest alternative would be CHAIN_ONLY, but the abstract clearly contains coral-specific sediment-impact assessment content, so inclusion is justified.</x:v>
      </x:c>
      <x:c r="V45" s="7" t="str">
        <x:v>ALL_VERIFIED_NON_TROPICAL_TIER_B_INCLUSIONS</x:v>
      </x:c>
      <x:c r="W45" s="7" t="str">
        <x:v>TBV1-0053</x:v>
      </x:c>
    </x:row>
    <x:row r="46" ht="42" customHeight="1">
      <x:c r="A46" s="14" t="str">
        <x:v>B</x:v>
      </x:c>
      <x:c r="B46" s="7" t="str">
        <x:v>CWC-6B7F66CC3768</x:v>
      </x:c>
      <x:c r="C46" s="7" t="str">
        <x:v>The distribution of deep-sea sponge aggregations (Porifera) in relation to oceanographic processes in the Faroe-Shetland Channel</x:v>
      </x:c>
      <x:c r="D46" s="7" t="str">
        <x:v>Joshua J. Davison | Hans van Haren | Phil Hosegood | Nils Piechaud | Kerry L. Howell</x:v>
      </x:c>
      <x:c r="E46" s="11" t="str">
        <x:v>2019</x:v>
      </x:c>
      <x:c r="F46" s="7" t="str">
        <x:v>Deep Sea Research Part I Oceanographic Research Papers</x:v>
      </x:c>
      <x:c r="G46" s="7" t="str">
        <x:v>article</x:v>
      </x:c>
      <x:c r="H46" s="7" t="str">
        <x:v>10.1016/j.dsr.2019.03.005</x:v>
      </x:c>
      <x:c r="I46" s="7" t="str">
        <x:v>https://doi.org/10.1016/j.dsr.2019.03.005</x:v>
      </x:c>
      <x:c r="J46" s="7" t="str">
        <x:v>Abstract Deep-sea sponge aggregations have been identified as potential Vulnerable Marine Ecosystems under United Nations General Assembly Resolution 61/105. Understanding the distribution of these habitats is critical to future spatial management efforts, and central to this understanding are quantitative data on the environmental drivers of that distribution. Accumulations of large suspension feeders are hypothesised to aggregate in regions of internal wave formation. The causal link is thought to be an increase in the supply of food related to the incidence of internal waves, which results in resuspension of particulate organic matter on which the sponges feed. There is, however, almost no empirical evidence to support this hypothesis for deep-sea sponge aggregations, although there is strong circumstantial evidence. We tested the relationship between sponge density and 1) temperature range (as a measure of internal wave presence in this region), and 2) optical backscatter (a measure of particulate flux) for a known sponge aggregation in the Faroe-Shetland Channel where internal wave interaction with the slope is further well-documented. 25 benthic video transects, ranging from 422 to 979 m water depth were conducted in the study region. 225 images were analysed and all taxa identified to morphotypes and quantified. Temperature and optical backscatter data were drawn from archived CTD data, and data from long term (4 months) and 2 seasonal short term (11 days) mooring deployments from the region. A generalised linear model was used to test the relationship between sponge density and temperature range (ΔT), and sponge density and optical backscatter. The results showed a statistically significant positive relationship between sponge density and temperature range, with the highest sponge densities occurring at depths of greatest temperature range. They showed a statistically significant positive relationship between sponge density and optical backscatter for long term and one short term seasonal deployment (Sep–Oct), but a weak negative relationship for the other short term mooring deployment (April-May). We conclude that sponge aggregations in the Faroe-Shetland Channel are associated with slope regions that are subjected to abrupt and pronounced changes in temperature due to intensified internal wave activity over the slope between depths of 400–600 and that lead to intensified near-bed currents and elevated resuspension of particulate. Our data provide empirical evidence of the relationship between internal wave processes and deep-sea sponge aggregations. These data modify current theory on drivers of deep sea sponge aggregation distribution, suggesting aggregations also occur directly within regions of internal wave breaking, rather than simply proximal to these regions.</x:v>
      </x:c>
      <x:c r="K46" s="11" t="str">
        <x:v>YES</x:v>
      </x:c>
      <x:c r="L46" s="7" t="str">
        <x:v>FROZEN_PUBLIC_FULL_TEXT_LOCATION</x:v>
      </x:c>
      <x:c r="M46" s="7" t="str">
        <x:v>http://hdl.handle.net/10026.1/13461</x:v>
      </x:c>
      <x:c r="N46" s="7" t="str">
        <x:v>VERIFIED_DOI_DOCUMENT</x:v>
      </x:c>
      <x:c r="O46" s="7" t="str">
        <x:v>B01_DEEP_COLD_SEDIMENT_EVIDENCE</x:v>
      </x:c>
      <x:c r="P46" s="11" t="str">
        <x:v>HIGH</x:v>
      </x:c>
      <x:c r="Q46" s="7" t="str">
        <x:v>Deep-sea sponge aggregations (Porifera) in the Faroe-Shetland Channel, identified as potential Vulnerable Marine Ecosystems.</x:v>
      </x:c>
      <x:c r="R46" s="7" t="str">
        <x:v>Resuspension of particulate organic matter, particulate flux (optical backscatter), internal wave-induced near-bed currents and temperature variability.</x:v>
      </x:c>
      <x:c r="S46" s="7" t="str">
        <x:v>Sponge density (abundance) shows statistically significant positive relationships with temperature range and optical backscatter, providing empirical ecological evidence associating sponge aggregations with resuspension processes.</x:v>
      </x:c>
      <x:c r="T46" s="7" t="str">
        <x:v>This deep-sea sponge study explicitly evaluates a suspended-particle/resuspension pathway and links it to sponge density, satisfying the B01 criterion for deep/cold sediment evidence with ecological relevance.</x:v>
      </x:c>
      <x:c r="U46" s="7" t="str">
        <x:v>The record concerns deep-sea sponges and addresses a suspended-particulate (resuspension) pathway via optical backscatter and internal wave dynamics. It reports a biological response (sponge density) in relation to this pathway, providing ecological evidence of sediment-related effects. This meets B01 (deep-cold sediment evidence). The closest alternative would be excluding it as a distribution-only study, but the direct particulate flux–sponge density relationship makes it eligible for Tier B inclusion.</x:v>
      </x:c>
      <x:c r="V46" s="7" t="str">
        <x:v>ALL_VERIFIED_CENTRAL_PEER_REVIEWED</x:v>
      </x:c>
      <x:c r="W46" s="7" t="str">
        <x:v>TBV1-0090</x:v>
      </x:c>
    </x:row>
    <x:row r="47" ht="42" customHeight="1">
      <x:c r="A47" s="14" t="str">
        <x:v>B</x:v>
      </x:c>
      <x:c r="B47" s="7" t="str">
        <x:v>CWC-72074C6840EA</x:v>
      </x:c>
      <x:c r="C47" s="7" t="str">
        <x:v>Distributions and habitat associations of deep-water corals in Norfolk and Baltimore Canyons, Mid-Atlantic Bight, USA</x:v>
      </x:c>
      <x:c r="D47" s="7" t="str">
        <x:v>Sandra Brooke | Martin Watts | Austin Heil | Mike Rhode | Furu Mienis | Gerard Duineveld | Andrew J. Davies | Steve W. Ross</x:v>
      </x:c>
      <x:c r="E47" s="11" t="str">
        <x:v>2016</x:v>
      </x:c>
      <x:c r="F47" s="7" t="str">
        <x:v>Deep Sea Research Part II Topical Studies in Oceanography</x:v>
      </x:c>
      <x:c r="G47" s="7" t="str">
        <x:v>article</x:v>
      </x:c>
      <x:c r="H47" s="7" t="str">
        <x:v>10.1016/j.dsr2.2016.05.008</x:v>
      </x:c>
      <x:c r="I47" s="7" t="str">
        <x:v>https://doi.org/10.1016/j.dsr2.2016.05.008</x:v>
      </x:c>
      <x:c r="J47" s="7" t="str">
        <x:v>A multi-disciplinary study of two major submarine canyons, Baltimore Canyon and Norfolk Canyon, off the US mid-Atlantic coast focused on the ecology and biology of canyon habitats, particularly those supporting deep-sea corals. Historical data on deep-sea corals from these canyons were sparse with less than 750 records for the mid-Atlantic region, with most being soft sediment species. This study substantially increased the number of deep-sea coral records for the target canyons and the region. Large gorgonians were the dominant structure-forming coral taxa on exposed hard substrates, but several species of scleractinians were also documented, including first observations of Lophelia pertusa in the mid-Atlantic Bight region. Coral distribution varied within and between the two canyons, with greater abundance of the octocoral Paragorgia arborea in Baltimore Canyon, and higher occurrence of stony corals in Norfolk Canyon; these observations reflect the differences in environmental conditions, particularly turbidity, between the canyons. Some species have a wide distribution (e.g., P. arborea,Primnoa resedaeformis, Anthothela grandiflora), while others are limited to certain habitat types and/or depth zones (e.g., Paramuricea placomus, L. pertusa, Solenosmilia variabilis). The distribution of a species is driven by a combination of factors, which include availability of appropriate physical structure and environmental conditions. Although the diversity of the structure-forming corals (gorgoniahs, branching scleractinians and large anemones) was low, many areas of both canyons supported high coral abundance and a diverse coral-associated community. The canyons provide suitable habitat for the development of deep-sea coral communities that is not readily available elsewhere on the sedimented shelf and slope of the Mid Atlantic Bight. (C) 2016 Elsevier Ltd. All rights reserved.</x:v>
      </x:c>
      <x:c r="K47" s="11" t="str">
        <x:v>YES</x:v>
      </x:c>
      <x:c r="L47" s="7" t="str">
        <x:v>FROZEN_PUBLIC_FULL_TEXT_LOCATION</x:v>
      </x:c>
      <x:c r="M47" s="7" t="str">
        <x:v>https://research.bangor.ac.uk/portal/en/researchoutputs/distributions-and-habitat-associations-of-deepwater-corals-in-norfolk-and-baltimore-canyons-midatlantic-bight-usa(5d507b42-3a7d-441f-9753-3b4d5af76f41).html</x:v>
      </x:c>
      <x:c r="N47" s="7" t="str">
        <x:v>VERIFIED_DOI_DOCUMENT</x:v>
      </x:c>
      <x:c r="O47" s="7" t="str">
        <x:v>B01_DEEP_COLD_SEDIMENT_EVIDENCE</x:v>
      </x:c>
      <x:c r="P47" s="11" t="str">
        <x:v>HIGH</x:v>
      </x:c>
      <x:c r="Q47" s="7" t="str">
        <x:v>Deep-sea corals including gorgonians, scleractinians (e.g., Lophelia pertusa, Solenosmilia variabilis), and octocorals.</x:v>
      </x:c>
      <x:c r="R47" s="7" t="str">
        <x:v>Turbidity differences between canyons; likely suspended sediment and particles.</x:v>
      </x:c>
      <x:c r="S47" s="7" t="str">
        <x:v>Coral distribution, abundance, and habitat associations; differences in environmental conditions affect community composition.</x:v>
      </x:c>
      <x:c r="T47" s="7" t="str">
        <x:v>Deep/cold-water coral source with explicit turbidity (sediment) pathway and ecological distribution evidence.</x:v>
      </x:c>
      <x:c r="U47" s="7" t="str">
        <x:v>The study directly examines deep-sea coral distributions in two submarine canyons and explicitly attributes differences in coral abundance and species occurrence to environmental conditions, particularly turbidity. This is a clear sediment-related pathway in a deep-cold-water coral system with ecological response evidence (distribution and abundance). It meets B01 because the response is indirect/synthesized rather than experimental, which is acceptable for Tier B. Alternative B03 is less appropriate because it does not directly test sediment exposure; B02 is not a review/assessment.</x:v>
      </x:c>
      <x:c r="V47" s="7" t="str">
        <x:v>ALL_VERIFIED_CENTRAL_PEER_REVIEWED</x:v>
      </x:c>
      <x:c r="W47" s="7" t="str">
        <x:v>TBV1-0036</x:v>
      </x:c>
    </x:row>
    <x:row r="48" ht="42" customHeight="1">
      <x:c r="A48" s="14" t="str">
        <x:v>B</x:v>
      </x:c>
      <x:c r="B48" s="7" t="str">
        <x:v>CWC-FC23EA9354CF</x:v>
      </x:c>
      <x:c r="C48" s="7" t="str">
        <x:v>Disturbance to conserved bacterial communities in the cold-water gorgonian coral Eunicella verrucosa</x:v>
      </x:c>
      <x:c r="D48" s="7" t="str">
        <x:v>Emma Ransome | Sonia J. Rowley | Simon Thomas | Karen Tait | Colin B. Munn</x:v>
      </x:c>
      <x:c r="E48" s="11" t="str">
        <x:v>2014</x:v>
      </x:c>
      <x:c r="F48" s="7" t="str">
        <x:v>FEMS Microbiology Ecology</x:v>
      </x:c>
      <x:c r="G48" s="7" t="str">
        <x:v>article</x:v>
      </x:c>
      <x:c r="H48" s="7" t="str">
        <x:v>10.1111/1574-6941.12398</x:v>
      </x:c>
      <x:c r="I48" s="7" t="str">
        <x:v>https://doi.org/10.1111/1574-6941.12398</x:v>
      </x:c>
      <x:c r="J48" s="7" t="str">
        <x:v>The bacterial communities associated with healthy and diseased colonies of the cold-water gorgonian coral Eunicella verrucosa at three sites off the south-west coast of England were compared using denaturing gradient gel electrophoresis (DGGE) and clone libraries. Significant differences in community structure between healthy and diseased samples were discovered, as were differences in the level of disturbance to these communities at each site; this correlated with depth and sediment load. The majority of cloned sequences from healthy coral tissue affiliated with the Gammaproteobacteria. The stability of the bacterial community and dominance of specific genera found across visibly healthy colonies suggest the presence of a specific microbial community. Affiliations included a high proportion of Endozoicomonas sequences, which were most similar to sequences found in tropical corals. This genus has been found in a number of invertebrates and is suggested to have a role in coral health and in the metabolisation of dimethylsulfoniopropionate (DMSP) produced by zooxanthellae. However, screening of colonies for the presence of zooxanthellae produced a negative result. Diseased colonies showed a decrease in affiliated clones and an increase in clones related to potentially harmful/transient microorganisms but no increase in a particular pathogen. This study demonstrates that a better understanding of these bacterial communities, the factors that affect them and their role in coral health and disease will be of critical importance in predicting future threats to temperate gorgonian communities.</x:v>
      </x:c>
      <x:c r="K48" s="11" t="str">
        <x:v>YES</x:v>
      </x:c>
      <x:c r="L48" s="7" t="str">
        <x:v>FROZEN_PUBLIC_FULL_TEXT_LOCATION</x:v>
      </x:c>
      <x:c r="M48" s="7" t="str">
        <x:v>https://academic.oup.com/femsec/article-pdf/90/2/404/18145636/90-2-404.pdf</x:v>
      </x:c>
      <x:c r="N48" s="7" t="str">
        <x:v>VERIFIED_DOI_DOCUMENT</x:v>
      </x:c>
      <x:c r="O48" s="7" t="str">
        <x:v>B01_DEEP_COLD_SEDIMENT_EVIDENCE</x:v>
      </x:c>
      <x:c r="P48" s="11" t="str">
        <x:v>HIGH</x:v>
      </x:c>
      <x:c r="Q48" s="7" t="str">
        <x:v>Cold-water gorgonian coral Eunicella verrucosa and its associated bacterial communities</x:v>
      </x:c>
      <x:c r="R48" s="7" t="str">
        <x:v>Sediment load (correlated with depth) at three sites off the south-west coast of England</x:v>
      </x:c>
      <x:c r="S48" s="7" t="str">
        <x:v>Disturbance to bacterial community structure; differences between healthy and diseased colonies, with community disturbance correlated to sediment load</x:v>
      </x:c>
      <x:c r="T48" s="7" t="str">
        <x:v>Deep/cold-water coral study with explicit sediment load factor and ecological (microbial community) response evidence; meets broader Tier B standard for sediment-related effects on cold-water corals</x:v>
      </x:c>
      <x:c r="U48" s="7" t="str">
        <x:v>This study examines bacterial communities associated with the cold-water gorgonian coral Eunicella verrucosa and reports that disturbance to these communities correlates with sediment load. The organism is a cold-water coral, the stressor is explicitly sediment load, and the response is ecological (microbial community structure), which is relevant to coral health. This fits B01 (deep/cold sediment evidence) because it provides indirect biological evidence of sediment effects on a cold-water coral. Closest alternative would be exclusion for lacking direct coral physiological response, but Tier B explicitly allows indirect responses and broader evidence. The study is substantive and not merely a discovery page, so include.</x:v>
      </x:c>
      <x:c r="V48" s="7" t="str">
        <x:v>ALL_VERIFIED_CENTRAL_PEER_REVIEWED</x:v>
      </x:c>
      <x:c r="W48" s="7" t="str">
        <x:v>TBV1-1436</x:v>
      </x:c>
    </x:row>
    <x:row r="49" ht="42" customHeight="1">
      <x:c r="A49" s="14" t="str">
        <x:v>B</x:v>
      </x:c>
      <x:c r="B49" s="7" t="str">
        <x:v>GLV4-CE38B43B5A2D</x:v>
      </x:c>
      <x:c r="C49" s="7" t="str">
        <x:v>Dredging Program for the Cape Lambert Port Upgrade</x:v>
      </x:c>
      <x:c r="D49" s="7" t="str"/>
      <x:c r="E49" s="11" t="str">
        <x:v>2010</x:v>
      </x:c>
      <x:c r="F49" s="7" t="str">
        <x:v>epa.wa.gov.au</x:v>
      </x:c>
      <x:c r="G49" s="7" t="str">
        <x:v>report</x:v>
      </x:c>
      <x:c r="H49" s="7" t="str"/>
      <x:c r="I49" s="7" t="str">
        <x:v>https://www.epa.wa.gov.au/sites/default/files/Referral_Documentation/A1672_R1254-Environmental%20Referral%20Document%2C%20Rev%2010.pdf</x:v>
      </x:c>
      <x:c r="J49" s="7" t="str">
        <x:v>the autumn in March and April (Stoddart and Gilmour 2005). High levels of suspended solids have been shown to negatively impact on the fertilisation of eggs and larvae survival prior to settlement, while sedimentation may impact on the coral larvae settlement choice, settlement success, bail-out rate, and subsequent survival (Babcock and Smith 2000; Gilmour 1999; Babcock and Mundy 1996; Te 1992). Elevated levels of suspended SINCLAIR KNIGHT MERZ PAGE 5-34 ROBE RIVER IRON ORE Dredging Program for the Cape Lambert Port Upgrade Referral Document solids and sedimentation caused by dredging and spo</x:v>
      </x:c>
      <x:c r="K49" s="11" t="str">
        <x:v>YES</x:v>
      </x:c>
      <x:c r="L49" s="7" t="str">
        <x:v>PUBLIC_FULL_DOCUMENT_LOCATION</x:v>
      </x:c>
      <x:c r="M49" s="7" t="str">
        <x:v>https://www.epa.wa.gov.au/sites/default/files/Referral_Documentation/A1672_R1254-Environmental%20Referral%20Document%2C%20Rev%2010.pdf</x:v>
      </x:c>
      <x:c r="N49" s="7" t="str">
        <x:v>VERIFIED_DIRECT_DOCUMENT_URL</x:v>
      </x:c>
      <x:c r="O49" s="7" t="str">
        <x:v>B05_BROAD_SYNTHESIS_WITH_TARGET_EVIDENCE</x:v>
      </x:c>
      <x:c r="P49" s="11" t="str">
        <x:v>HIGH</x:v>
      </x:c>
      <x:c r="Q49" s="7" t="str">
        <x:v>Coral larvae and subsequent survival are explicitly discussed, including fertilisation, settlement choice, settlement success, bail-out rate, and survival.</x:v>
      </x:c>
      <x:c r="R49" s="7" t="str">
        <x:v>Elevated suspended solids and sedimentation caused by dredging are the identified stressors.</x:v>
      </x:c>
      <x:c r="S49" s="7" t="str">
        <x:v>The referral document states that high suspended solids negatively impact coral egg fertilisation, larval survival, settlement, and post-settlement survival, citing multiple studies.</x:v>
      </x:c>
      <x:c r="T49" s="7" t="str">
        <x:v>This is a substantive government regulatory assessment document for a dredging program that separately reports coral-specific evidence about sediment impacts, even though it covers other environmental effects and taxa.</x:v>
      </x:c>
      <x:c r="U49" s="7" t="str">
        <x:v>The record is a formal environmental referral document for a dredging program. The abstract explicitly addresses sediment-related stressors (suspended solids and sedimentation) and coral biological responses, including larval fertilization, survival, settlement choice, and bail-out. This provides a clear coral sediment-effects assessment suitable for Tier B. The closest alternative, B04, is for tropical studies directly testing effects, but this document is a synthesis/assessment rather than an experimental study; hence B05 is the most appropriate category. The document is substantive and not a mere search page, so it is included.</x:v>
      </x:c>
      <x:c r="V49" s="7" t="str">
        <x:v>ALL_VERIFIED_NON_TROPICAL_TIER_B_INCLUSIONS</x:v>
      </x:c>
      <x:c r="W49" s="7" t="str">
        <x:v>TBV1-0493</x:v>
      </x:c>
    </x:row>
    <x:row r="50" ht="42" customHeight="1">
      <x:c r="A50" s="14" t="str">
        <x:v>B</x:v>
      </x:c>
      <x:c r="B50" s="7" t="str">
        <x:v>CWC-93ACCC48BE75</x:v>
      </x:c>
      <x:c r="C50" s="7" t="str">
        <x:v>Dynamic change, recruitment and resilience in reef-forming glass sponges</x:v>
      </x:c>
      <x:c r="D50" s="7" t="str">
        <x:v>A Kahn | Laura J. Vehring | Rachel Brown | Sally P. Leys</x:v>
      </x:c>
      <x:c r="E50" s="11" t="str">
        <x:v>2015</x:v>
      </x:c>
      <x:c r="F50" s="7" t="str">
        <x:v>Journal of the Marine Biological Association of the United Kingdom</x:v>
      </x:c>
      <x:c r="G50" s="7" t="str">
        <x:v>article</x:v>
      </x:c>
      <x:c r="H50" s="7" t="str">
        <x:v>10.1017/s0025315415000466</x:v>
      </x:c>
      <x:c r="I50" s="7" t="str">
        <x:v>https://doi.org/10.1017/s0025315415000466</x:v>
      </x:c>
      <x:c r="J50" s="7" t="str">
        <x:v>Glass sponge reefs on the continental shelf of western Canada and south-east Alaska are considered stable deep-sea habitats that do not change significantly over time. Research cruises using a remotely operated vehicle equipped with accurate GPS positioning have allowed us to observe the same sponges at two reefs in the Strait of Georgia, British Columbia to document recruitment, growth and response to damage over time. Spermatocysts and putative embryos found in winter suggest annual, asynchronous reproduction. Juvenile sponges (2–10 cm in osculum diameter) in densities up to 1 m −2 were more concentrated near live sponges and sponge skeletons than away (Spearman rank correlations, P &lt; 0.0001 for live cover and for skeletons), suggesting that recruitment occurs in particular regions using sponge skeletons as substrate. Most sponges showed no change in shape or size over 2–3 years, but some had died while others showed growth of 1–9 cm year −1 . Deposition rates of reef-cementing sediments were 97 mm year −1 at Galiano Reef and 137 mm year −1 at Fraser Reef, but sediments eroded so that there was no net gain or loss over time. Sponges recovered within 1 year from small-scale damage that mimicked bites by fish or nudibranchs; however sponges did not recover from crushing of a large area (1.5 × 2 m 2 ) even 3 years later. These observations and experiments show that while recruitment and growth of sponge reefs is more dynamic than previously thought, the reefs are not resilient in the face of larger-scale disturbances such as might be inflicted by trawling.</x:v>
      </x:c>
      <x:c r="K50" s="11" t="str">
        <x:v>NO</x:v>
      </x:c>
      <x:c r="L50" s="7" t="str">
        <x:v>NOT_CONFIRMED</x:v>
      </x:c>
      <x:c r="M50" s="7" t="str"/>
      <x:c r="N50" s="7" t="str">
        <x:v>VERIFIED_DOI_DOCUMENT</x:v>
      </x:c>
      <x:c r="O50" s="7" t="str">
        <x:v>B01_DEEP_COLD_SEDIMENT_EVIDENCE</x:v>
      </x:c>
      <x:c r="P50" s="11" t="str">
        <x:v>HIGH</x:v>
      </x:c>
      <x:c r="Q50" s="7" t="str">
        <x:v>Glass sponges (Hexactinellida) on continental shelf reefs of western Canada (Strait of Georgia, British Columbia).</x:v>
      </x:c>
      <x:c r="R50" s="7" t="str">
        <x:v>Sediment deposition rates (97–137 mm/yr) and erosion on sponge reefs; larger-scale disturbances (trawling) mentioned.</x:v>
      </x:c>
      <x:c r="S50" s="7" t="str">
        <x:v>Recruitment, growth rates (1–9 cm/yr), mortality, recovery from small-scale damage and lack of recovery from large-scale crushing; assessment of reef resilience and sediment dynamics.</x:v>
      </x:c>
      <x:c r="T50" s="7" t="str">
        <x:v>Deep/cold-water sponge source with explicit sediment deposition pathway and biological/ecological monitoring and impact evidence, meeting B01.</x:v>
      </x:c>
      <x:c r="U50" s="7" t="str">
        <x:v>This article examines glass sponge reefs in British Columbia, documenting recruitment, growth, mortality, and recovery after damage. It explicitly measures sediment deposition and erosion rates (97–137 mm/yr) on the reefs, and links these to reef stability and resilience, noting lack of recovery from large-scale disturbance such as trawling. This is deep/cold-water sponge evidence with an explicit sediment deposition pathway and biological/ecological monitoring and impact evidence, meeting B01. It is not B03 because sediment exposure is not directly tested experimentally; not B02 because it is primary research rather than a review/assessment.</x:v>
      </x:c>
      <x:c r="V50" s="7" t="str">
        <x:v>ALL_VERIFIED_CENTRAL_PEER_REVIEWED</x:v>
      </x:c>
      <x:c r="W50" s="7" t="str">
        <x:v>TBV1-0037</x:v>
      </x:c>
    </x:row>
    <x:row r="51" ht="42" customHeight="1">
      <x:c r="A51" s="14" t="str">
        <x:v>B</x:v>
      </x:c>
      <x:c r="B51" s="7" t="str">
        <x:v>GLV4-1F81B531BFB9</x:v>
      </x:c>
      <x:c r="C51" s="7" t="str">
        <x:v>Eastern Newfoundland Offshore Exploration Drilling Program</x:v>
      </x:c>
      <x:c r="D51" s="7" t="str"/>
      <x:c r="E51" s="11" t="str"/>
      <x:c r="F51" s="7" t="str">
        <x:v>iaac-aeic.gc.ca</x:v>
      </x:c>
      <x:c r="G51" s="7" t="str">
        <x:v>report</x:v>
      </x:c>
      <x:c r="H51" s="7" t="str"/>
      <x:c r="I51" s="7" t="str">
        <x:v>https://iaac-aeic.gc.ca/050/documents/p80132/121322E.pdf</x:v>
      </x:c>
      <x:c r="J51" s="7" t="str">
        <x:v>events by reducing filter feeding and thus decreasing their intake of sediment particles (Tjensvoll et al. 2013; Kutti et al. 2015). However, introduction of sediment sizes atypical from natural conditions may reduce organism condition (Kutti et al. 2015). Larval sponges are more sensitive to sedimentation, resulting in higher larval mortality and decreased settlement (Maldonado et al. 2008; Bell et al. 2015). Therefore, corals and sponges are often adapted to tolerate short-term exposure to drill cutting sedimentation with potential effects on adults related to chronic exposure or high sedime</x:v>
      </x:c>
      <x:c r="K51" s="11" t="str">
        <x:v>YES</x:v>
      </x:c>
      <x:c r="L51" s="7" t="str">
        <x:v>PUBLIC_FULL_DOCUMENT_LOCATION</x:v>
      </x:c>
      <x:c r="M51" s="7" t="str">
        <x:v>https://iaac-aeic.gc.ca/050/documents/p80132/121322E.pdf</x:v>
      </x:c>
      <x:c r="N51" s="7" t="str">
        <x:v>VERIFIED_DIRECT_DOCUMENT_URL</x:v>
      </x:c>
      <x:c r="O51" s="7" t="str">
        <x:v>B02_DEEP_COLD_REVIEW_ASSESSMENT</x:v>
      </x:c>
      <x:c r="P51" s="11" t="str">
        <x:v>HIGH</x:v>
      </x:c>
      <x:c r="Q51" s="7" t="str">
        <x:v>Corals and sponges explicitly mentioned; includes larval sponges and adult corals/sponges.</x:v>
      </x:c>
      <x:c r="R51" s="7" t="str">
        <x:v>Drill cutting sedimentation, sediment particles, atypical sediment sizes, chronic exposure to high sedimentation.</x:v>
      </x:c>
      <x:c r="S51" s="7" t="str">
        <x:v>Reduced filter feeding, decreased sediment particle intake, reduced organism condition, higher larval mortality, decreased settlement in response to sedimentation.</x:v>
      </x:c>
      <x:c r="T51" s="7" t="str">
        <x:v>Government/regulatory assessment report for Eastern Newfoundland offshore drilling with direct sediment-impact focus on cold-water corals and sponges, providing evidence on exposure and biological responses.</x:v>
      </x:c>
      <x:c r="U51" s="7" t="str">
        <x:v>The document is a substantive assessment report from a federal environmental assessment process (iaac-aeic.gc.ca) concerning an offshore drilling program in Eastern Newfoundland, a cold-water region. The abstract snippet explicitly discusses sediment effects on corals and sponges: reduced filter feeding, decreased intake of sediment particles, reduced organism condition, and increased larval mortality with decreased settlement. This directly matches B02_DEEP_COLD_REVIEW_ASSESSMENT: a regulatory assessment with a direct sediment-impact focus and clear potential to inform effects and mitigation. The closest alternative would be B01, but B02 is more specific to the document type (assessment report) and its clear regulatory assessment value. No exclusions apply; the stressor is sedimentary/drill cuttings, and organisms are corals and sponges.</x:v>
      </x:c>
      <x:c r="V51" s="7" t="str">
        <x:v>ALL_VERIFIED_NON_TROPICAL_TIER_B_INCLUSIONS</x:v>
      </x:c>
      <x:c r="W51" s="7" t="str">
        <x:v>TBV1-0428</x:v>
      </x:c>
    </x:row>
    <x:row r="52" ht="42" customHeight="1">
      <x:c r="A52" s="14" t="str">
        <x:v>B</x:v>
      </x:c>
      <x:c r="B52" s="7" t="str">
        <x:v>CWC-E923FE61E045</x:v>
      </x:c>
      <x:c r="C52" s="7" t="str">
        <x:v>Effect of suspended sediment on the nutritional mode of scleractinian corals and their adaptability: state of knowledge and research</x:v>
      </x:c>
      <x:c r="D52" s="7" t="str">
        <x:v>俞晓磊 罗勇</x:v>
      </x:c>
      <x:c r="E52" s="11" t="str">
        <x:v>2021</x:v>
      </x:c>
      <x:c r="F52" s="7" t="str">
        <x:v>Acta Ecologica Sinica</x:v>
      </x:c>
      <x:c r="G52" s="7" t="str">
        <x:v>article</x:v>
      </x:c>
      <x:c r="H52" s="7" t="str">
        <x:v>10.5846/stxb201908071663</x:v>
      </x:c>
      <x:c r="I52" s="7" t="str">
        <x:v>https://doi.org/10.5846/stxb201908071663</x:v>
      </x:c>
      <x:c r="J52" s="7" t="str">
        <x:v>营养方式是造礁石珊瑚获取能量与营养物质的基础，影响其生长与分布。近年来珊瑚礁区悬浮物含量与组分结构发生显著变化，其对造礁石珊瑚营养方式的诸多影响正成为当前研究热点。研究系统综述了珊瑚礁区悬浮物变化特征、悬浮物对造礁石珊瑚营养方式的影响及其适应性研究现状。发现近年来人类活动加剧与强降雨事件频发是驱动珊瑚礁，尤其是近岸珊瑚礁区悬浮物含量递增、组分改变与变频加剧的主因；悬浮物变化对造礁石珊瑚光合自养与异养营养的影响存在显著的种间差异，这主要与悬浮物消光效应、生物可利用性及造礁石珊瑚种类密切相关。虽然少数种类造礁石珊瑚具光合可塑性或异养可塑性，能在高含量悬浮物存在的弱光环境中较好生长。然而对绝大多数造礁石珊瑚而言，其营养方式适应性较差，无法在悬浮物影响下较好地获取生命活动所需的能量与营养物质，进而难以生存。总体来说，悬浮物被认为是近年来影响造礁石珊瑚生长与分布的重要环境因子之一，而关于造礁石珊瑚营养方式对悬浮物变化的响应及其适应机制，当前研究仍较薄弱，需要进一步加强相关研究。;The nutritional mode is the basis for scleractinian corals to obtain energy and nutrients, which affects their growth and distribution. In recent years, the content and composition of suspended sediment in coral reefs have changed significantly, and many effects on the nutritional mode of scleractinian corals are becoming the focus of current research. This article reviewed the characteristics of the suspended sediment changes in coral reefs, the effects of suspended sediment on the nutritional mode of scleractinian corals and their adaptability. The results show that the intensification of human activities and the frequent occurrence of heavy rainfall events in recent years are the main reasons driving the increase in suspended sediment concentration, composition changes and frequency conversion in coral reefs, especially in fringing reefs. The influences of suspended sediment on autotrophy and heterotrophy of scleractinian corals are significantly different, which are mainly related to the extinction effect and bioavailability of suspended sediment, and the species of scleractinian corals. Although some species of scleractinian corals have photosynthetic plasticity or heterotrophic plasticity, they can grow well in low-light environments where high levels of suspended sediment exist. However, for the majority of scleractinian corals, the adaptability of nutritional mode is poor, so they can't obtain the energy and nutrients needed for living better under the influence of suspended sediment, which makes them difficult to survive. Overall, suspended sediment is considered to be one of the important environmental factors affecting the growth and distribution of scleractinian corals in recent years. However, the present studies on the response and adaptability mechanism of the nutritional mode of scleractinian corals to the change of suspended sediment are still rare, and further research is needed.</x:v>
      </x:c>
      <x:c r="K52" s="11" t="str">
        <x:v>YES</x:v>
      </x:c>
      <x:c r="L52" s="7" t="str">
        <x:v>FROZEN_PUBLIC_FULL_TEXT_LOCATION</x:v>
      </x:c>
      <x:c r="M52" s="7" t="str"/>
      <x:c r="N52" s="7" t="str">
        <x:v>VERIFIED_DOI_DOCUMENT</x:v>
      </x:c>
      <x:c r="O52" s="7" t="str">
        <x:v>B05_BROAD_SYNTHESIS_WITH_TARGET_EVIDENCE</x:v>
      </x:c>
      <x:c r="P52" s="11" t="str">
        <x:v>HIGH</x:v>
      </x:c>
      <x:c r="Q52" s="7" t="str">
        <x:v>Scleractinian corals (reef-building corals) in tropical reef systems; focus on their nutritional mode (autotrophy and heterotrophy).</x:v>
      </x:c>
      <x:c r="R52" s="7" t="str">
        <x:v>Suspended sediment in coral reefs: increased concentrations, changed composition, reduced light (extinction effect), and altered bioavailability due to human activities and heavy rainfall.</x:v>
      </x:c>
      <x:c r="S52" s="7" t="str">
        <x:v>Reviews impacts on coral autotrophic and heterotrophic nutrition, growth, distribution, and survival; discusses species-specific photosynthetic/heterotrophic plasticity and adaptation; identifies suspended sediment as a key factor influencing coral health.</x:v>
      </x:c>
      <x:c r="T52" s="7" t="str">
        <x:v>A substantive review article that separately synthesizes coral-specific evidence on suspended-sediment effects, meeting the broad-synthesis criterion for sediment effects on corals.</x:v>
      </x:c>
      <x:c r="U52" s="7" t="str">
        <x:v>This is a peer-reviewed review on suspended-sediment effects on scleractinian coral nutritional modes, clearly meeting Tier B inclusion. The organism is tropical reef-building corals; the stressor is suspended sediment (explicitly discussed); the response/assessment includes altered nutrition, growth, and survival, with species-specific adaptability. It is not a primary experimental study, so B04 (direct test) is less appropriate; rather, it is a broad synthesis of sediment effects focused on corals, fitting B05. It provides substantive evidence and is a valuable source for understanding exposure–response relationships and adaptive capacity. No exclusion criteria apply: it has coral evidence, a clear sediment pathway, and relevant biological responses. Confidence is HIGH based on a detailed abstract. Full text is not required for screening decisions.</x:v>
      </x:c>
      <x:c r="V52" s="7" t="str">
        <x:v>ALL_VERIFIED_NON_TROPICAL_TIER_B_INCLUSIONS</x:v>
      </x:c>
      <x:c r="W52" s="7" t="str">
        <x:v>TBV1-1026</x:v>
      </x:c>
    </x:row>
    <x:row r="53" ht="42" customHeight="1">
      <x:c r="A53" s="14" t="str">
        <x:v>B</x:v>
      </x:c>
      <x:c r="B53" s="7" t="str">
        <x:v>CWC-5B37CB5D6689</x:v>
      </x:c>
      <x:c r="C53" s="7" t="str">
        <x:v>Effects of dissolved nickel and nickel-contaminated suspended sediment on the scleractinian coral, Acropora muricata</x:v>
      </x:c>
      <x:c r="D53" s="7" t="str">
        <x:v>Megan L. Gillmore | Francesca Gissi | Lisa A. Golding | Jennifer L. Stauber | Amanda Reichelt‐Brushett | Andrea Severati | Craig Humphrey | Dianne F. Jolley</x:v>
      </x:c>
      <x:c r="E53" s="11" t="str">
        <x:v>2020</x:v>
      </x:c>
      <x:c r="F53" s="7" t="str">
        <x:v>Marine Pollution Bulletin</x:v>
      </x:c>
      <x:c r="G53" s="7" t="str">
        <x:v>article</x:v>
      </x:c>
      <x:c r="H53" s="7" t="str">
        <x:v>10.1016/j.marpolbul.2020.110886</x:v>
      </x:c>
      <x:c r="I53" s="7" t="str">
        <x:v>https://doi.org/10.1016/j.marpolbul.2020.110886</x:v>
      </x:c>
      <x:c r="J53" s="7" t="str">
        <x:v>Intensification of lateritic nickel mining in Southeast Asia and Melanesia potentially threatens coastal ecosystems from increased exposure to nickel and suspended sediment. This study investigated the response of Acropora muricata when exposed to either dissolved nickel, clean suspended sediment or nickel-contaminated suspended sediment for 7 days, followed by a 7-d recovery period. Significant bleaching and accumulation of nickel in coral tissue was observed only after exposure to high dissolved nickel concentrations and nickel-spiked suspended sediment. No effect on A. muricata was observed from exposure to a particulate-bound nickel concentration of 60 mg/kg acid-extractable nickel at a suspended sediment concentration of 30 mg/L TSS. This study demonstrates that bioavailability of nickel associated with suspended sediment exposure plays a key role in influencing nickel toxicity to corals. These findings assist in assessments of risk posed by increasing nickel mining activities on tropical marine ecosystems.</x:v>
      </x:c>
      <x:c r="K53" s="11" t="str">
        <x:v>YES</x:v>
      </x:c>
      <x:c r="L53" s="7" t="str">
        <x:v>FROZEN_PUBLIC_FULL_TEXT_LOCATION</x:v>
      </x:c>
      <x:c r="M53" s="7" t="str">
        <x:v>https://figshare.com/articles/journal_contribution/Effects_of_dissolved_nickel_and_nickel-contaminated_suspended_sediment_on_the_scleractinian_coral_Acropora_muricata/27772971/1/files/50541885.pdf</x:v>
      </x:c>
      <x:c r="N53" s="7" t="str">
        <x:v>VERIFIED_DOI_DOCUMENT</x:v>
      </x:c>
      <x:c r="O53" s="7" t="str">
        <x:v>B04_TROPICAL_PHYSICAL_SEDIMENT_ANALOGUE</x:v>
      </x:c>
      <x:c r="P53" s="11" t="str">
        <x:v>HIGH</x:v>
      </x:c>
      <x:c r="Q53" s="7" t="str">
        <x:v>Tropical scleractinian coral Acropora muricata</x:v>
      </x:c>
      <x:c r="R53" s="7" t="str">
        <x:v>Clean suspended sediment and nickel-contaminated suspended sediment (particulate-bound nickel), with dissolved nickel as co-stressor</x:v>
      </x:c>
      <x:c r="S53" s="7" t="str">
        <x:v>Bleaching and tissue nickel accumulation observed at high dissolved Ni and nickel-spiked suspended sediment; no effect at 60 mg/kg acid-extractable Ni at 30 mg/L TSS</x:v>
      </x:c>
      <x:c r="T53" s="7" t="str">
        <x:v>Direct experimental exposure of a tropical coral to suspended sediment with explicit particle/deposition pathway and biological response (bleaching, accumulation), qualifying as B04 physical sediment analogue.</x:v>
      </x:c>
      <x:c r="U53" s="7" t="str">
        <x:v>Tropical scleractinian coral Acropora muricata was experimentally exposed to clean and nickel-contaminated suspended sediment for 7 days with recovery. Relevant biological responses included bleaching and tissue nickel accumulation. This directly tests physical sediment exposure (suspended sediment) with a clear particle/deposition pathway, satisfying B04. Preferable to CHAIN_ONLY because the study provides direct response evidence; preferable to exclusion because the sediment pathway is explicit despite nickel as co-stressor.</x:v>
      </x:c>
      <x:c r="V53" s="7" t="str">
        <x:v>SPARING_TOP_25_TROPICAL_DIRECT_PHYSICAL_ANALOGUES</x:v>
      </x:c>
      <x:c r="W53" s="7" t="str">
        <x:v>TBV1-1136</x:v>
      </x:c>
    </x:row>
    <x:row r="54" ht="42" customHeight="1">
      <x:c r="A54" s="14" t="str">
        <x:v>B</x:v>
      </x:c>
      <x:c r="B54" s="7" t="str">
        <x:v>CWC-78ED16AEBD73</x:v>
      </x:c>
      <x:c r="C54" s="7" t="str">
        <x:v>Effects of Dredging Induced Resuspension of Fine-Grain Sediment on Two Scleractinian Corals, Montastraea cavernosa and Stephanocoenia intersepta .</x:v>
      </x:c>
      <x:c r="D54" s="7" t="str">
        <x:v>Cheryl Hankins | Keisha D. Bahr | Daphne White | Yung Jones | Adam Glahn | Wade Lehmann | United States Environmental Protection Agency, Region 4, Water Division, Atlanta, USA | Vladimir N. Kosmynin | William S. Fisher</x:v>
      </x:c>
      <x:c r="E54" s="11" t="str">
        <x:v>2024</x:v>
      </x:c>
      <x:c r="F54" s="7" t="str">
        <x:v>ASEAN Journal of Psychiatry</x:v>
      </x:c>
      <x:c r="G54" s="7" t="str">
        <x:v>article</x:v>
      </x:c>
      <x:c r="H54" s="7" t="str">
        <x:v>10.54615/2231-7805.24.27.650</x:v>
      </x:c>
      <x:c r="I54" s="7" t="str">
        <x:v>https://doi.org/10.54615/2231-7805.24.27.650</x:v>
      </x:c>
      <x:c r="J54" s="7" t="str">
        <x:v>Dredging, the removal of sediments and rocks from an aquatic environment, is necessary to ensure that adequate coastal infrastructure is maintained for maritime shipping. However, the sediment plumes generated by dredging could have adverse impacts on coral reef ecosystems that are already facing numerous local and global stressors. This is especially true in areas where the predominant strata are aragonitic limestone which must be physically broken apart to be extracted, leading to very high concentrations of fine suspended sediment in the water column. To examine the role suspended sediment plays in stress, this study exposed two coral species (Montastraea cavernosa and Stephanocoenia intersepta) to fine-grain sediment ranging from 0 to 511.7 mg L-1 for 30 days. Sediment characteristics were analyzed and water quality parameters were monitored. Growth, mortality and three bleaching indicators were documented after 10 and 30 days. No mortality or tissue loss was observed in either species. No significant differences in growth were observed in the 10-day exposure; however, both species had significant declines in calcification at the 30-day exposure. Bleaching indicators did not appear to be affected by sediment exposure at day 10 or 30. Reduction in photosynthetically active radiation was highly correlated with both turbidity metrics of NTU units and Total Suspended Solids. These data indicate that sediment may minimally impact coral in short-term exposures but can affect growth in longer-term exposures in multi-year dredging projects in sensitive tropical and sub-tropical environments. Keywords Dredging; Turbidity; Coral; Light; Photosynthetically active radiation</x:v>
      </x:c>
      <x:c r="K54" s="11" t="str">
        <x:v>YES</x:v>
      </x:c>
      <x:c r="L54" s="7" t="str">
        <x:v>FROZEN_PUBLIC_FULL_TEXT_LOCATION</x:v>
      </x:c>
      <x:c r="M54" s="7" t="str">
        <x:v>https://www.walshmedicalmedia.com/open-access/effects-of-dredging-induced-resuspension-of-finegrain-sediment-on-two--scleractinian-corals-imontastraea-cavernosai-and-.pdf</x:v>
      </x:c>
      <x:c r="N54" s="7" t="str">
        <x:v>VERIFIED_DOI_DOCUMENT</x:v>
      </x:c>
      <x:c r="O54" s="7" t="str">
        <x:v>B04_TROPICAL_PHYSICAL_SEDIMENT_ANALOGUE</x:v>
      </x:c>
      <x:c r="P54" s="11" t="str">
        <x:v>HIGH</x:v>
      </x:c>
      <x:c r="Q54" s="7" t="str">
        <x:v>Two scleractinian corals: Montastraea cavernosa and Stephanocoenia intersepta.</x:v>
      </x:c>
      <x:c r="R54" s="7" t="str">
        <x:v>Dredging-induced resuspension of fine-grain sediment; suspended sediment concentrations 0 to 511.7 mg/L for 30 days; turbidity (NTU) and total suspended solids.</x:v>
      </x:c>
      <x:c r="S54" s="7" t="str">
        <x:v>Growth/calcification significant declines at 30-day exposure; no mortality or tissue loss; bleaching indicators unaffected; PAR reduction correlated with turbidity/TSS.</x:v>
      </x:c>
      <x:c r="T54" s="7" t="str">
        <x:v>Direct experimental exposure of tropical corals to suspended sediment from dredging; reports biological responses including growth and calcification; fits B04.</x:v>
      </x:c>
      <x:c r="U54" s="7" t="str">
        <x:v>This is a tropical coral experimental study directly testing suspended sediment exposure and measuring growth, mortality, and bleaching responses. It clearly qualifies under B04 as a physical sediment analogue, reporting calcification declines after 30 days. Not CHAIN_ONLY because direct evidence is present. Not EXCLUDE because relevant sediment-response pathway is explicit.</x:v>
      </x:c>
      <x:c r="V54" s="7" t="str">
        <x:v>SPARING_TOP_25_TROPICAL_DIRECT_PHYSICAL_ANALOGUES</x:v>
      </x:c>
      <x:c r="W54" s="7" t="str">
        <x:v>TBV1-1137</x:v>
      </x:c>
    </x:row>
    <x:row r="55" ht="42" customHeight="1">
      <x:c r="A55" s="14" t="str">
        <x:v>B</x:v>
      </x:c>
      <x:c r="B55" s="7" t="str">
        <x:v>CWC-0FE476536EC6</x:v>
      </x:c>
      <x:c r="C55" s="7" t="str">
        <x:v>THE EFFECTS OF DRILLING MUDS ON MARINE INVERTEBRATE LARVAE AND ADULTS</x:v>
      </x:c>
      <x:c r="D55" s="7" t="str">
        <x:v>P. Raimondi | Arthur M. Barnett | Paul R. Krause</x:v>
      </x:c>
      <x:c r="E55" s="11" t="str">
        <x:v>1997</x:v>
      </x:c>
      <x:c r="F55" s="7" t="str">
        <x:v>Environmental Toxicology and Chemistry</x:v>
      </x:c>
      <x:c r="G55" s="7" t="str">
        <x:v>article</x:v>
      </x:c>
      <x:c r="H55" s="7" t="str">
        <x:v>10.1897/1551-5028(1997)016</x:v>
      </x:c>
      <x:c r="I55" s="7" t="str">
        <x:v>https://doi.org/10.1897/1551-5028(1997)016</x:v>
      </x:c>
      <x:c r="J55" s="7" t="str">
        <x:v>A series of laboratory experiments tested the effects of drilling muds from an active platform off southern California on larvae and adults of marine invertebrates. Red abalone (Haliotis rufescens) were used to determine effects of drilling muds on fertilization, early development, survivorship, and settlement, and experiments on adult brown cup corals (Paracyathus stearnsii) tested effects on adult survivorship, viability, and tissue loss. Exposures to drilling muds did not have an effect on abalone fertilization or early development. However, several exposures to drilling muds resulted in weak, but significant, positive effects of drilling muds on settlement of competent larvae. In contrast, settlement of red abalone larvae on natural coralline algal crusts decreased with increasing concentrations of drilling muds. This suggests that drilling muds affect either the abalone's ability to detect natural settlement inducers, or they affect the inducer itself. Exposure of brown cup corals to concentrations of drilling muds adversely impacted their survivorship and viability. These effects were likely caused by increased tissue mortality of the coral polyps.</x:v>
      </x:c>
      <x:c r="K55" s="11" t="str">
        <x:v>NO</x:v>
      </x:c>
      <x:c r="L55" s="7" t="str">
        <x:v>NOT_CONFIRMED</x:v>
      </x:c>
      <x:c r="M55" s="7" t="str"/>
      <x:c r="N55" s="7" t="str">
        <x:v>VERIFIED_DOI_DOCUMENT</x:v>
      </x:c>
      <x:c r="O55" s="7" t="str">
        <x:v>B01_DEEP_COLD_SEDIMENT_EVIDENCE</x:v>
      </x:c>
      <x:c r="P55" s="11" t="str">
        <x:v>HIGH</x:v>
      </x:c>
      <x:c r="Q55" s="7" t="str">
        <x:v>Adult brown cup coral (Paracyathus stearnsii); red abalone larvae also tested but not the primary target.</x:v>
      </x:c>
      <x:c r="R55" s="7" t="str">
        <x:v>Drilling muds from an active platform off southern California, tested at various concentrations in laboratory exposures.</x:v>
      </x:c>
      <x:c r="S55" s="7" t="str">
        <x:v>Drilling muds adversely impacted coral survivorship and viability, attributed to increased tissue mortality of coral polyps.</x:v>
      </x:c>
      <x:c r="T55" s="7" t="str">
        <x:v>Direct experimental evidence of cold-water coral (Paracyathus stearnsii) exposed to drilling mud (sediment pathway), with measured biological responses (survivorship, viability, tissue loss). Meets B01 as a deep/cold-water coral study with explicit sediment/drill-mud pathway and impact evidence.</x:v>
      </x:c>
      <x:c r="U55" s="7" t="str">
        <x:v>The abstract reports laboratory experiments exposing adult brown cup corals (Paracyathus stearnsii) to drilling muds from a southern California platform, showing significant adverse effects on survivorship and viability caused by coral polyp tissue mortality. This directly provides cold-water coral sediment-impact evidence under B01. The drilling mud is a form of sediment/suspended-particle exposure, and the responses are biological and relevant. The abalone data do not affect inclusion. The record is a substantive peer-reviewed article, and the decision is distinct from B03 because B01 specifically covers cold-water corals with drilling-mud pathways. No other exclusion criteria apply.</x:v>
      </x:c>
      <x:c r="V55" s="7" t="str">
        <x:v>ALL_VERIFIED_CENTRAL_PEER_REVIEWED</x:v>
      </x:c>
      <x:c r="W55" s="7" t="str">
        <x:v>TBV1-0263</x:v>
      </x:c>
    </x:row>
    <x:row r="56" ht="42" customHeight="1">
      <x:c r="A56" s="14" t="str">
        <x:v>B</x:v>
      </x:c>
      <x:c r="B56" s="7" t="str">
        <x:v>CWC-169197C49054</x:v>
      </x:c>
      <x:c r="C56" s="7" t="str">
        <x:v>Effects of sediment exposure on corals: a systematic review of experimental studies</x:v>
      </x:c>
      <x:c r="D56" s="7" t="str">
        <x:v>Lillian J. Tuttle | Megan J. Donahue</x:v>
      </x:c>
      <x:c r="E56" s="11" t="str">
        <x:v>2022</x:v>
      </x:c>
      <x:c r="F56" s="7" t="str">
        <x:v>Environmental Evidence</x:v>
      </x:c>
      <x:c r="G56" s="7" t="str">
        <x:v>review</x:v>
      </x:c>
      <x:c r="H56" s="7" t="str">
        <x:v>10.1186/s13750-022-00256-0</x:v>
      </x:c>
      <x:c r="I56" s="7" t="str">
        <x:v>https://doi.org/10.1186/s13750-022-00256-0</x:v>
      </x:c>
      <x:c r="J56" s="7" t="str">
        <x:v>Background: Management actions that address local-scale stressors on coral reefs can rapidly improve water quality and reef ecosystem condition. In response to reef managers who need actionable thresholds for coastal runoff and dredging, we conducted a systematic review and meta-analysis of experimental studies that explore the effects of sediment on corals. We identified exposure levels that 'adversely' affect corals while accounting for sediment bearing (deposited vs. suspended), coral life-history stage, and species, thus providing empirically based estimates of stressor thresholds on vulnerable coral reefs. Methods: We searched online databases and grey literature to obtain a list of potential studies, assess their eligibility, and critically appraise them for validity and risk of bias. Data were extracted from eligible studies and grouped by sediment bearing and coral response to identify thresholds in terms of the lowest exposure levels that induced an adverse physiological and/or lethal effect. Meta-regression estimated the dose-response relationship between exposure level and the magnitude of a coral's response, with random-effects structures to estimate the proportion of variance explained by factors such as study and coral species. Review findings: After critical appraisal of over 15,000 records, our systematic review of corals' responses to sediment identified 86 studies to be included in meta-analyses (45 studies for deposited sediment and 42 studies for suspended sediment). The lowest sediment exposure levels that caused adverse effects in corals were well below the levels previously described as 'normal' on reefs: for deposited sediment, adverse effects occurred as low as 1 mg/cm(2)/day for larvae (limited settlement rates) and 4.9 mg/cm(2)/day for adults (tissue mortality); for suspended sediment, adverse effects occurred as low as 10 mg/L for juveniles (reduced growth rates) and 3.2 mg/L for adults (bleaching and tissue mortality). Corals take at least 10 times longer to experience tissue mortality from exposure to suspended sediment than to comparable concentrations of deposited sediment, though physiological changes manifest 10 times faster in response to suspended sediment than to deposited sediment. Threshold estimates derived from continuous response variables (magnitude of adverse effect) largely matched the lowest-observed adverse-effect levels from a summary of studies, or otherwise helped us to identify research gaps that should be addressed to better quantify the dose-response relationship between sediment exposure and coral health. Conclusions: We compiled a global dataset that spans three oceans, over 140 coral species, decades of research, and a range of field- and lab-based approaches. Our review and meta-analysis inform the no-observed and lowest-observed adverse-effect levels (NOAEL, LOAEL) that are used in management consultations by U.S. federal agencies. In the absence of more location- or species-specific data to inform decisions, our results provide the best available information to protect vulnerable reef-building corals from sediment stress. Based on gaps and limitations identified by our review, we make recommendations to improve future studies and recommend future synthesis to disentangle the potentially synergistic effects of multiple coral-reef stressors.</x:v>
      </x:c>
      <x:c r="K56" s="11" t="str">
        <x:v>YES</x:v>
      </x:c>
      <x:c r="L56" s="7" t="str">
        <x:v>FROZEN_PUBLIC_FULL_TEXT_LOCATION</x:v>
      </x:c>
      <x:c r="M56" s="7" t="str">
        <x:v>https://environmentalevidencejournal.biomedcentral.com/counter/pdf/10.1186/s13750-022-00256-0</x:v>
      </x:c>
      <x:c r="N56" s="7" t="str">
        <x:v>VERIFIED_DOI_DOCUMENT</x:v>
      </x:c>
      <x:c r="O56" s="7" t="str">
        <x:v>B05_BROAD_SYNTHESIS_WITH_TARGET_EVIDENCE</x:v>
      </x:c>
      <x:c r="P56" s="11" t="str">
        <x:v>HIGH</x:v>
      </x:c>
      <x:c r="Q56" s="7" t="str">
        <x:v>Corals, spanning over 140 species, multiple life-history stages (larvae, juveniles, adults) across three oceans.</x:v>
      </x:c>
      <x:c r="R56" s="7" t="str">
        <x:v>Sediment exposure from coastal runoff and dredging, explicitly addressing deposited and suspended sediment with quantitative exposure levels (mg/cm2/day and mg/L).</x:v>
      </x:c>
      <x:c r="S56" s="7" t="str">
        <x:v>Synthesized adverse effect thresholds: reduced settlement, growth, bleaching, tissue mortality; NOAEL/LOAEL estimates for management consultations.</x:v>
      </x:c>
      <x:c r="T56" s="7" t="str">
        <x:v>A systematic review and meta-analysis specifically focused on sediment effects on corals, providing broad synthesis of exposure-response thresholds and management-relevant assessment evidence.</x:v>
      </x:c>
      <x:c r="U56" s="7" t="str">
        <x:v>This is a systematic review and meta-analysis directly addressing sediment exposure effects on corals, with quantitative thresholds for deposited and suspended sediment. It clearly qualifies under B05 as a broad synthesis that separately reports coral sediment-impact evidence. The decision is preferable to CHAIN_ONLY because it contains direct coral sediment-effects content, and to B01/B02 because it is not deep/cold-specific but a global coral reef synthesis. It is more than a primary tropical study (B04) because it synthesizes diverse experimental evidence into management-relevant thresholds. The abstract provides sufficient detail for high-confidence inclusion.</x:v>
      </x:c>
      <x:c r="V56" s="7" t="str">
        <x:v>ALL_VERIFIED_NON_TROPICAL_TIER_B_INCLUSIONS</x:v>
      </x:c>
      <x:c r="W56" s="7" t="str">
        <x:v>TBV1-1141</x:v>
      </x:c>
    </x:row>
    <x:row r="57" ht="42" customHeight="1">
      <x:c r="A57" s="14" t="str">
        <x:v>B</x:v>
      </x:c>
      <x:c r="B57" s="7" t="str">
        <x:v>CWC-F6E3C7FE7955</x:v>
      </x:c>
      <x:c r="C57" s="7" t="str">
        <x:v>Effects of sediments on the reproductive cycle of corals</x:v>
      </x:c>
      <x:c r="D57" s="7" t="str">
        <x:v>Ross Jones | Gerard F. Ricardo | Andrew P. Negri</x:v>
      </x:c>
      <x:c r="E57" s="11" t="str">
        <x:v>2015</x:v>
      </x:c>
      <x:c r="F57" s="7" t="str">
        <x:v>Marine Pollution Bulletin</x:v>
      </x:c>
      <x:c r="G57" s="7" t="str">
        <x:v>article</x:v>
      </x:c>
      <x:c r="H57" s="7" t="str">
        <x:v>10.1016/j.marpolbul.2015.08.021</x:v>
      </x:c>
      <x:c r="I57" s="7" t="str">
        <x:v>https://doi.org/10.1016/j.marpolbul.2015.08.021</x:v>
      </x:c>
      <x:c r="J57" s="7" t="str">
        <x:v>Dredging, river plumes and natural resuspension events can release sediments into the water column where they exert a range of effects on underlying communities. In this review we examine possible cause-effect pathways whereby light reduction, elevated suspended sediments and sediment deposition could affect the reproductive cycle and early life histories of corals. The majority of reported or likely effects (30+) were negative, including a suite of previously unrecognized effects on gametes. The length of each phase of the life-cycle was also examined together with analysis of water quality conditions that can occur during a dredging project over equivalent durations, providing a range of environmentally relevant exposure scenarios for future testing. The review emphasizes the need to: (a) accurately quantify exposure conditions, (b) identify the mechanism of any effects in future studies, and (c) recognize the close interlinking of proximate factors which could confound interpretation of studies. (C) 2015 The Authors. Published by Elsevier Ltd.</x:v>
      </x:c>
      <x:c r="K57" s="11" t="str">
        <x:v>YES</x:v>
      </x:c>
      <x:c r="L57" s="7" t="str">
        <x:v>FROZEN_PUBLIC_FULL_TEXT_LOCATION</x:v>
      </x:c>
      <x:c r="M57" s="7" t="str">
        <x:v>https://www.sciencedirect.com/science/article/pii/S0025326X15005251/pdf</x:v>
      </x:c>
      <x:c r="N57" s="7" t="str">
        <x:v>VERIFIED_DOI_DOCUMENT</x:v>
      </x:c>
      <x:c r="O57" s="7" t="str">
        <x:v>B05_BROAD_SYNTHESIS_WITH_TARGET_EVIDENCE</x:v>
      </x:c>
      <x:c r="P57" s="11" t="str">
        <x:v>HIGH</x:v>
      </x:c>
      <x:c r="Q57" s="7" t="str">
        <x:v>Corals, including reproductive cycles and early life histories</x:v>
      </x:c>
      <x:c r="R57" s="7" t="str">
        <x:v>Sediments from dredging, river plumes, and resuspension; light reduction, elevated suspended sediments, and sediment deposition</x:v>
      </x:c>
      <x:c r="S57" s="7" t="str">
        <x:v>Review of 30+ negative effects on reproduction and early life stages, including effects on gametes; environmental exposure scenarios and research needs identified</x:v>
      </x:c>
      <x:c r="T57" s="7" t="str">
        <x:v>Substantive peer-reviewed review synthesizing sediment effects on coral reproduction; provides extensive cause-effect pathways and exposure-response information, qualifying as a broad sediment-effects synthesis with directly reported coral evidence</x:v>
      </x:c>
      <x:c r="U57" s="7" t="str">
        <x:v>This article is a peer-reviewed review examining cause-effect pathways of sediment exposure (dredging, river plumes, resuspension) on the reproductive cycle and early life histories of corals. It synthesizes over 30 reported or likely negative effects, including previously unrecognized effects on gametes, and provides environmentally relevant exposure scenarios and research recommendations. The review is directly relevant to sediment impacts on corals and is a substantive document with clear coral sediment-effects content. The closest alternative is exclusion as a review without primary data, but Tier B explicitly includes substantive reviews and syntheses that inform effects, exposure, and recovery. B05 is selected because the review is a synthesis of sediment effects on corals; although it focuses on corals rather than other taxa, it qualifies as a broad sediment-effects synthesis with explicitly reported coral evidence.</x:v>
      </x:c>
      <x:c r="V57" s="7" t="str">
        <x:v>ALL_VERIFIED_NON_TROPICAL_TIER_B_INCLUSIONS</x:v>
      </x:c>
      <x:c r="W57" s="7" t="str">
        <x:v>TBV1-0184</x:v>
      </x:c>
    </x:row>
    <x:row r="58" ht="42" customHeight="1">
      <x:c r="A58" s="14" t="str">
        <x:v>B</x:v>
      </x:c>
      <x:c r="B58" s="7" t="str">
        <x:v>CWC-72FC59BB0830</x:v>
      </x:c>
      <x:c r="C58" s="7" t="str">
        <x:v>Effects of terrigenous sediment on settlement and survival of the reef coral Pocillopora damicornis</x:v>
      </x:c>
      <x:c r="D58" s="7" t="str">
        <x:v>Kaipo Perez | Kuʻulei S. Rodgers | Paul L. Jokiel | Claire Lager | Daniel J. Lager</x:v>
      </x:c>
      <x:c r="E58" s="11" t="str">
        <x:v>2014</x:v>
      </x:c>
      <x:c r="F58" s="7" t="str">
        <x:v>PeerJ</x:v>
      </x:c>
      <x:c r="G58" s="7" t="str">
        <x:v>article</x:v>
      </x:c>
      <x:c r="H58" s="7" t="str">
        <x:v>10.7717/peerj.387</x:v>
      </x:c>
      <x:c r="I58" s="7" t="str">
        <x:v>https://doi.org/10.7717/peerj.387</x:v>
      </x:c>
      <x:c r="J58" s="7" t="str">
        <x:v>Survival and settlement of Pocillopora damicornis larvae on hard surfaces covered with fine (&lt;63 mu m) terrigenous red clay was measured in laboratory Petri dishes. The dishes were prepared with sediment films of various thicknesses covering the bottoms. Coral larvae were incubated in the dishes for two weeks and the percent that settled on the bottom was determined. There was a statistically significant relationship between the amount of sediment and coral recruitment on the bottom, with no recruitment on surfaces having a sediment cover above 0.9 mg cm(-2). Experimental conditions for the delicate coral larvae were favorable in these experiments. Total survival over the two week settlement tests expressed as the sum of coral recruits and live larvae at the end of the experiment did not show a significant decline, so the major impact of the sediment was on successful settlement rather than on mortality. Larval substrate selection behavior was the primary factor in the observed result.</x:v>
      </x:c>
      <x:c r="K58" s="11" t="str">
        <x:v>YES</x:v>
      </x:c>
      <x:c r="L58" s="7" t="str">
        <x:v>FROZEN_PUBLIC_FULL_TEXT_LOCATION</x:v>
      </x:c>
      <x:c r="M58" s="7" t="str">
        <x:v>https://peerj.com/articles/387.pdf</x:v>
      </x:c>
      <x:c r="N58" s="7" t="str">
        <x:v>VERIFIED_DOI_DOCUMENT</x:v>
      </x:c>
      <x:c r="O58" s="7" t="str">
        <x:v>B04_TROPICAL_PHYSICAL_SEDIMENT_ANALOGUE</x:v>
      </x:c>
      <x:c r="P58" s="11" t="str">
        <x:v>HIGH</x:v>
      </x:c>
      <x:c r="Q58" s="7" t="str">
        <x:v>Tropical reef coral Pocillopora damicornis larvae</x:v>
      </x:c>
      <x:c r="R58" s="7" t="str">
        <x:v>Fine (&lt;63 µm) terrigenous red clay sediment films of varying thickness</x:v>
      </x:c>
      <x:c r="S58" s="7" t="str">
        <x:v>Settlement, recruitment, survival, larval substrate selection; significant reduction in settlement with no recruitment above 0.9 mg cm⁻² sediment</x:v>
      </x:c>
      <x:c r="T58" s="7" t="str">
        <x:v>Direct experimental test of physical sediment exposure on a tropical coral, reporting clear biological responses (settlement, survival). Meets B04 broader than Tier A standard.</x:v>
      </x:c>
      <x:c r="U58" s="7" t="str">
        <x:v>Tropical coral Pocillopora damicornis larvae were experimentally exposed to fine terrigenous sediment films, directly testing physical sediment exposure and measuring settlement and survival. The study found a significant reduction in settlement and no recruitment above a sediment threshold, while survival was unaffected, reflecting larval substrate selection behavior. This is a clear tropical physical sediment analogue (B04) providing direct exposure-response evidence for sediment effects on corals. It is not merely mentioning sediment; the exposure and biological response are central. It is preferable to B03 because the organism is tropical, not non-tropical, and it satisfies the broader B04 inclusion criteria.</x:v>
      </x:c>
      <x:c r="V58" s="7" t="str">
        <x:v>SPARING_TOP_25_TROPICAL_DIRECT_PHYSICAL_ANALOGUES</x:v>
      </x:c>
      <x:c r="W58" s="7" t="str">
        <x:v>TBV1-1027</x:v>
      </x:c>
    </x:row>
    <x:row r="59" ht="42" customHeight="1">
      <x:c r="A59" s="14" t="str">
        <x:v>B</x:v>
      </x:c>
      <x:c r="B59" s="7" t="str">
        <x:v>CWC-1C68BB5D48A7</x:v>
      </x:c>
      <x:c r="C59" s="7" t="str">
        <x:v>Effects of two sediment types on the fluorescence yield of two Hawaiian scleractinian corals</x:v>
      </x:c>
      <x:c r="D59" s="7" t="str">
        <x:v>Gregory A. Piniak</x:v>
      </x:c>
      <x:c r="E59" s="11" t="str">
        <x:v>2007</x:v>
      </x:c>
      <x:c r="F59" s="7" t="str">
        <x:v>Marine Environmental Research</x:v>
      </x:c>
      <x:c r="G59" s="7" t="str">
        <x:v>article</x:v>
      </x:c>
      <x:c r="H59" s="7" t="str">
        <x:v>10.1016/j.marenvres.2007.04.001</x:v>
      </x:c>
      <x:c r="I59" s="7" t="str">
        <x:v>https://doi.org/10.1016/j.marenvres.2007.04.001</x:v>
      </x:c>
      <x:c r="J59" s="7" t="str">
        <x:v>This study used non-invasive pulse-amplitude modulated (PAM) fluorometry to measure the maximum fluorescence yield (F-v/F-m) of two Hawaiian scleractinian coral species exposed to short-term sedimentation stress. Beach sand or harbor mud was applied to coral fragments in a flow-through aquarium system for 0-45 h, and changes in F,,IF,,, were measured as a function of sediment type and length of exposure. Corals were monitored for up to 90 h to document recovery after sediment removal. Sediment deposition significantly decreased F-v/F-m in both species and was a function of sediment type and time. Corals that received sediment for 30 It or more had the greatest reduction in yield and exhibited little recovery over the course of the experiment. Harbor mud caused a greater reduction in Porites lobata yield than beach sand, whereas both sediment types had equally deleterious effects on Montipora capitata. Colony morphology and sediment type were important factors in determining yield reduction-P. lobata minimized damage from coarse sand grains by passive sediment rejection or accumulation in depressions in the skeleton, and fluorescence yield decreased most in corals exposed to sticky harbor mud or in colonies with flattened morphologies. Species-specific differences could not be tested due to differences in colony morphology and surface area. (c) 2007 Published by Elsevier Ltd.</x:v>
      </x:c>
      <x:c r="K59" s="11" t="str">
        <x:v>YES</x:v>
      </x:c>
      <x:c r="L59" s="7" t="str">
        <x:v>FROZEN_PUBLIC_FULL_TEXT_LOCATION</x:v>
      </x:c>
      <x:c r="M59" s="7" t="str">
        <x:v>https://hal.archives-ouvertes.fr/hal-00562977/file/PEER_stage2_10.1016%252Fj.marenvres.2007.04.001.pdf</x:v>
      </x:c>
      <x:c r="N59" s="7" t="str">
        <x:v>VERIFIED_DOI_DOCUMENT</x:v>
      </x:c>
      <x:c r="O59" s="7" t="str">
        <x:v>B04_TROPICAL_PHYSICAL_SEDIMENT_ANALOGUE</x:v>
      </x:c>
      <x:c r="P59" s="11" t="str">
        <x:v>HIGH</x:v>
      </x:c>
      <x:c r="Q59" s="7" t="str">
        <x:v>Two Hawaiian scleractinian corals: Porites lobata and Montipora capitata.</x:v>
      </x:c>
      <x:c r="R59" s="7" t="str">
        <x:v>Experimental exposure to sediment deposition using beach sand and harbor mud, applied for up to 45 hours in a flow-through system, with monitoring during and after exposure.</x:v>
      </x:c>
      <x:c r="S59" s="7" t="str">
        <x:v>Maximum fluorescence yield (Fv/Fm) measured via PAM fluorometry; significant decreases in yield with sediment type and time, limited recovery for longer exposures, and differential effects by species and colony morphology.</x:v>
      </x:c>
      <x:c r="T59" s="7" t="str">
        <x:v>Directly tests physical sediment exposure on tropical coral health, meeting B04 as it measures a relevant biological response (physiological condition) to suspended/deposited sediment.</x:v>
      </x:c>
      <x:c r="U59" s="7" t="str">
        <x:v>This is a tropical coral experimental study directly examining effects of sediment deposition on coral fluorescence yield, a physiological stress response. The sediment pathway is explicit (beach sand and harbor mud applied to coral fragments), and the response is measured quantitatively with a recovery phase. This clearly qualifies as B04_TROPICAL_PHYSICAL_SEDIMENT_ANALOGUE. The closest alternative would be B01, but B01 is for deep/cold-water corals, whereas this is a tropical Hawaiian study. CHAIN_ONLY is inappropriate because the direct target content is present and substantive.</x:v>
      </x:c>
      <x:c r="V59" s="7" t="str">
        <x:v>SPARING_TOP_25_TROPICAL_DIRECT_PHYSICAL_ANALOGUES</x:v>
      </x:c>
      <x:c r="W59" s="7" t="str">
        <x:v>TBV1-1145</x:v>
      </x:c>
    </x:row>
    <x:row r="60" ht="42" customHeight="1">
      <x:c r="A60" s="14" t="str">
        <x:v>B</x:v>
      </x:c>
      <x:c r="B60" s="7" t="str">
        <x:v>GLV4-C20C12B21614</x:v>
      </x:c>
      <x:c r="C60" s="7" t="str">
        <x:v>EL 1167 EL 1167 (Gale N-66) Conditi</x:v>
      </x:c>
      <x:c r="D60" s="7" t="str"/>
      <x:c r="E60" s="11" t="str"/>
      <x:c r="F60" s="7" t="str">
        <x:v>exploration.exxonmobilcanada.ca</x:v>
      </x:c>
      <x:c r="G60" s="7" t="str">
        <x:v>report</x:v>
      </x:c>
      <x:c r="H60" s="7" t="str"/>
      <x:c r="I60" s="7" t="str">
        <x:v>https://exploration.exxonmobilcanada.ca/s/EL-1167-Gale-N-66-Executive-Summary-EN.pdf</x:v>
      </x:c>
      <x:c r="J60" s="7" t="str">
        <x:v>provided monthly e-mail operational updates to fishers and Indigenous groups. Documents, plans, and monitoring reports were posted to the EMCL Exploration website as available including communications plans, wellhead abandonment plan, well control strategies, implementation schedule, and oil response plan. 3 FISH AND FISH HABITAT PROTECTION AND MONITORING To aid the protection of fish and fish habitats in and around the exploration drilling area, EMCL implemented mitigation measures including; • Pre-drilling coral and sponge surveys • Synthetic-based fluid on cuttings • Drill cuttings monitori</x:v>
      </x:c>
      <x:c r="K60" s="11" t="str">
        <x:v>YES</x:v>
      </x:c>
      <x:c r="L60" s="7" t="str">
        <x:v>PUBLIC_FULL_DOCUMENT_LOCATION</x:v>
      </x:c>
      <x:c r="M60" s="7" t="str">
        <x:v>https://exploration.exxonmobilcanada.ca/s/EL-1167-Gale-N-66-Executive-Summary-EN.pdf</x:v>
      </x:c>
      <x:c r="N60" s="7" t="str">
        <x:v>VERIFIED_DIRECT_DOCUMENT_URL</x:v>
      </x:c>
      <x:c r="O60" s="7" t="str">
        <x:v>B02_DEEP_COLD_REVIEW_ASSESSMENT</x:v>
      </x:c>
      <x:c r="P60" s="11" t="str">
        <x:v>MEDIUM</x:v>
      </x:c>
      <x:c r="Q60" s="7" t="str">
        <x:v>Corals and sponges are explicitly mentioned through pre-drilling coral and sponge surveys.</x:v>
      </x:c>
      <x:c r="R60" s="7" t="str">
        <x:v>Drill cuttings and synthetic-based fluid on cuttings are identified as exposure pathways.</x:v>
      </x:c>
      <x:c r="S60" s="7" t="str">
        <x:v>The report describes monitoring of drill cuttings, mitigation measures, and operational updates to protect fish and fish habitat, indicating an assessment/monitoring context.</x:v>
      </x:c>
      <x:c r="T60" s="7" t="str">
        <x:v>B02_DEEP_COLD_REVIEW_ASSESSMENT: a substantive monitoring/assessment report with direct sediment-impact focus (drill cuttings) and clear potential to inform effects, exposure, monitoring, or mitigation for cold-water corals and sponges.</x:v>
      </x:c>
      <x:c r="U60" s="7" t="str">
        <x:v>This is an operator's executive summary for offshore drilling at EL 1167 (Gale N-66), off Newfoundland. The abstract explicitly mentions pre-drilling coral and sponge surveys and drill cuttings monitoring as mitigation measures, establishing a cold-water coral/sponge context and a sediment (drill cuttings) pathway. The document is a monitoring/assessment report, fitting B02_DEEP_COLD_REVIEW_ASSESSMENT. It is a substantive report, not a discovery webpage. It is preferable over B01 because it is an assessment/monitoring document rather than a primary biological response study. X01 (organism out of scope) and X02 (sediment pathway absent) do not apply because both coral/sponge and sediment pathway are explicit. Confidence is medium due to the brief abstract, but the relevant elements are clearly present.</x:v>
      </x:c>
      <x:c r="V60" s="7" t="str">
        <x:v>ALL_VERIFIED_NON_TROPICAL_TIER_B_INCLUSIONS</x:v>
      </x:c>
      <x:c r="W60" s="7" t="str">
        <x:v>TBV1-0631</x:v>
      </x:c>
    </x:row>
    <x:row r="61" ht="42" customHeight="1">
      <x:c r="A61" s="14" t="str">
        <x:v>B</x:v>
      </x:c>
      <x:c r="B61" s="7" t="str">
        <x:v>CWC-161965306EF0</x:v>
      </x:c>
      <x:c r="C61" s="7" t="str">
        <x:v>EL 1169 EXPLORATION DRILLING: PERSEPHONE C-54</x:v>
      </x:c>
      <x:c r="D61" s="7" t="str"/>
      <x:c r="E61" s="11" t="str"/>
      <x:c r="F61" s="7" t="str">
        <x:v>ExxonMobil Canada</x:v>
      </x:c>
      <x:c r="G61" s="7" t="str">
        <x:v>monitoring_report</x:v>
      </x:c>
      <x:c r="H61" s="7" t="str"/>
      <x:c r="I61" s="7" t="str">
        <x:v>https://exploration.exxonmobilcanada.ca/s/Persephone-Follow-up-Monitoring-FFH_v3.pdf</x:v>
      </x:c>
      <x:c r="J61" s="7" t="str">
        <x:v>WSP Page 26 3.4 CORALS AND SPONGES 3.4.1 CORAL FUNCTIONAL GROUPS Four coral functional groups were observed in the post-drilling survey at Persephone: other corals, sea pens, and small and large gorgonians (Figure 3-7). These same groups were recorded during the pre-drilling survey at Persephone. Other corals were all soft corals, likely Heteropolypus sp. (Figure 3-7A). [...] No aggregations of habitat-forming corals or sponges were identified during the survey and no environmentally sensitive habitats were identified. Four coral functional groups were noted: other corals, small and large gorg</x:v>
      </x:c>
      <x:c r="K61" s="11" t="str">
        <x:v>YES</x:v>
      </x:c>
      <x:c r="L61" s="7" t="str">
        <x:v>FROZEN_PUBLIC_FULL_TEXT_LOCATION</x:v>
      </x:c>
      <x:c r="M61" s="7" t="str">
        <x:v>https://exploration.exxonmobilcanada.ca/s/Persephone-Follow-up-Monitoring-FFH_v3.pdf</x:v>
      </x:c>
      <x:c r="N61" s="7" t="str">
        <x:v>VERIFIED_DIRECT_DOCUMENT_URL</x:v>
      </x:c>
      <x:c r="O61" s="7" t="str">
        <x:v>B01_DEEP_COLD_SEDIMENT_EVIDENCE</x:v>
      </x:c>
      <x:c r="P61" s="11" t="str">
        <x:v>HIGH</x:v>
      </x:c>
      <x:c r="Q61" s="7" t="str">
        <x:v>Corals (soft corals, likely Heteropolypus sp., sea pens, small and large gorgonians) and sponges are the target organisms; the survey recorded coral functional groups and noted no aggregations of habitat-forming corals or sponges.</x:v>
      </x:c>
      <x:c r="R61" s="7" t="str">
        <x:v>Exploration drilling; the post-drilling survey compared with a pre-drilling survey implies exposure to drilling-related sediment and drill cuttings, a listed sediment pathway.</x:v>
      </x:c>
      <x:c r="S61" s="7" t="str">
        <x:v>Monitoring of coral and sponge functional groups before and after drilling; absence of sensitive habitats and aggregations provides condition/impact evidence relevant to drilling effects.</x:v>
      </x:c>
      <x:c r="T61" s="7" t="str">
        <x:v>A deep-sea monitoring report explicitly linked to exploration drilling, providing condition/impact evidence for corals and sponges under a sediment-related stressor.</x:v>
      </x:c>
      <x:c r="U61" s="7" t="str">
        <x:v>The document is a substantive monitoring report for exploration drilling at a deep-sea site (Persephone C-54). It reports coral functional groups (soft corals, sea pens, gorgonians) and sponges before and after drilling, providing biological condition and monitoring evidence. Drilling is an explicit sediment pathway (drill cuttings/mud), meeting B01 for deep/cold coral/sponge evidence. This is preferable to CHAIN_ONLY because the supplied material directly reports coral/sponge monitoring in the context of drilling. It is also more specific than B02 because it is primary monitoring evidence rather than a review/assessment.</x:v>
      </x:c>
      <x:c r="V61" s="7" t="str">
        <x:v>ALL_VERIFIED_NON_TROPICAL_TIER_B_INCLUSIONS</x:v>
      </x:c>
      <x:c r="W61" s="7" t="str">
        <x:v>TBV1-0160</x:v>
      </x:c>
    </x:row>
    <x:row r="62" ht="42" customHeight="1">
      <x:c r="A62" s="14" t="str">
        <x:v>B</x:v>
      </x:c>
      <x:c r="B62" s="7" t="str">
        <x:v>GLV4-36F2B47A79ED</x:v>
      </x:c>
      <x:c r="C62" s="7" t="str">
        <x:v>EL1165A Benthic Habitat Monitoring Report_Draft</x:v>
      </x:c>
      <x:c r="D62" s="7" t="str"/>
      <x:c r="E62" s="11" t="str"/>
      <x:c r="F62" s="7" t="str">
        <x:v>exploration.exxonmobilcanada.ca</x:v>
      </x:c>
      <x:c r="G62" s="7" t="str">
        <x:v>monitoring_report</x:v>
      </x:c>
      <x:c r="H62" s="7" t="str"/>
      <x:c r="I62" s="7" t="str">
        <x:v>https://exploration.exxonmobilcanada.ca/s/EL1165A-Benthic-Habitat-Monitoring-Report.pdf</x:v>
      </x:c>
      <x:c r="J62" s="7" t="str">
        <x:v>sponge surveys to be sensitive benthic habitat, and for any well located within a special area designated as such due to the presence of sensitive coral and sponge species, or a location near a special area where drill cuttings dispersion modelling predicts that drill cuttings deposition may have adverse effects, develop and implement, in consultation with Fisheries and Oceans Canada and the C-NLOPB, follow-up requirements to verify the accuracy of the environmental assessment and effectiveness of mitigation measures as they pertain to the effects of cuttings discharges on benthic habitat. Fol</x:v>
      </x:c>
      <x:c r="K62" s="11" t="str">
        <x:v>YES</x:v>
      </x:c>
      <x:c r="L62" s="7" t="str">
        <x:v>PUBLIC_FULL_DOCUMENT_LOCATION</x:v>
      </x:c>
      <x:c r="M62" s="7" t="str">
        <x:v>https://exploration.exxonmobilcanada.ca/s/EL1165A-Benthic-Habitat-Monitoring-Report.pdf</x:v>
      </x:c>
      <x:c r="N62" s="7" t="str">
        <x:v>VERIFIED_DIRECT_DOCUMENT_URL</x:v>
      </x:c>
      <x:c r="O62" s="7" t="str">
        <x:v>B02_DEEP_COLD_REVIEW_ASSESSMENT</x:v>
      </x:c>
      <x:c r="P62" s="11" t="str">
        <x:v>MEDIUM</x:v>
      </x:c>
      <x:c r="Q62" s="7" t="str">
        <x:v>Explicitly references sensitive coral and sponge species as benthic habitat, with sponge surveys noted.</x:v>
      </x:c>
      <x:c r="R62" s="7" t="str">
        <x:v>Drill cuttings dispersion modelling and deposition; potential adverse effects from cuttings discharges.</x:v>
      </x:c>
      <x:c r="S62" s="7" t="str">
        <x:v>Monitoring report to verify accuracy of environmental assessment and effectiveness of mitigation measures for effects of cuttings on benthic habitat.</x:v>
      </x:c>
      <x:c r="T62" s="7" t="str">
        <x:v>Substantive industry monitoring report with direct sediment-impact focus on cold-water corals and sponges, fitting B02 as a review/assessment/monitoring document.</x:v>
      </x:c>
      <x:c r="U62" s="7" t="str">
        <x:v>This is a monitoring report (draft) explicitly about benthic habitat in an offshore exploration area, with focus on sensitive corals and sponges and the effects of drill cuttings deposition. The snippet mentions sponge surveys, coral and sponge species, drill cuttings dispersion modelling, and follow-up monitoring to verify environmental assessment accuracy and mitigation effectiveness. This meets B02 as a substantive assessment/monitoring document with direct sediment-impact relevance to deep/cold-water corals and sponges. It is not merely a discovery webpage or project page; it is a report PDF. Exclusions do not apply because the sediment pathway (drill cuttings) and organism (corals/sponges) are explicit. Compared to B01, this is more of a monitoring/assessment report than primary sediment evidence, but B02 is appropriate. Confidence is MEDIUM due to limited snippet, but the decision is clear.</x:v>
      </x:c>
      <x:c r="V62" s="7" t="str">
        <x:v>ALL_VERIFIED_NON_TROPICAL_TIER_B_INCLUSIONS</x:v>
      </x:c>
      <x:c r="W62" s="7" t="str">
        <x:v>TBV1-0632</x:v>
      </x:c>
    </x:row>
    <x:row r="63" ht="42" customHeight="1">
      <x:c r="A63" s="14" t="str">
        <x:v>B</x:v>
      </x:c>
      <x:c r="B63" s="7" t="str">
        <x:v>GLV4-3096A08D83A3</x:v>
      </x:c>
      <x:c r="C63" s="7" t="str">
        <x:v>EL1165B Benthic Habitat Monitoring Report_Draft</x:v>
      </x:c>
      <x:c r="D63" s="7" t="str"/>
      <x:c r="E63" s="11" t="str"/>
      <x:c r="F63" s="7" t="str">
        <x:v>exploration.exxonmobilcanada.ca</x:v>
      </x:c>
      <x:c r="G63" s="7" t="str">
        <x:v>monitoring_report</x:v>
      </x:c>
      <x:c r="H63" s="7" t="str"/>
      <x:c r="I63" s="7" t="str">
        <x:v>https://exploration.exxonmobilcanada.ca/s/EL1165B-Benthic-Habitat-Monitoring-Report.pdf</x:v>
      </x:c>
      <x:c r="J63" s="7" t="str">
        <x:v>and report the results to the Board; 3.12.21, 2 for the first well in each exploration licence, and for any well where drilling is undertaken in an area determined by coral and sponge surveys to be sensitive benthic habitat, and for any well located within a special area designated as such due to the presence of sensitive coral and sponge species, or a location near a special area where drill cuttings dispersion modelling predicts that drill cuttings deposition may have adverse effects, develop and implement, in consultation with Fisheries and Oceans Canada and the Board, follow-up requirement</x:v>
      </x:c>
      <x:c r="K63" s="11" t="str">
        <x:v>YES</x:v>
      </x:c>
      <x:c r="L63" s="7" t="str">
        <x:v>PUBLIC_FULL_DOCUMENT_LOCATION</x:v>
      </x:c>
      <x:c r="M63" s="7" t="str">
        <x:v>https://exploration.exxonmobilcanada.ca/s/EL1165B-Benthic-Habitat-Monitoring-Report.pdf</x:v>
      </x:c>
      <x:c r="N63" s="7" t="str">
        <x:v>VERIFIED_DIRECT_DOCUMENT_URL</x:v>
      </x:c>
      <x:c r="O63" s="7" t="str">
        <x:v>B02_DEEP_COLD_REVIEW_ASSESSMENT</x:v>
      </x:c>
      <x:c r="P63" s="11" t="str">
        <x:v>HIGH</x:v>
      </x:c>
      <x:c r="Q63" s="7" t="str">
        <x:v>Corals and sponges are explicitly mentioned as targets of sensitive benthic habitat surveys and monitoring.</x:v>
      </x:c>
      <x:c r="R63" s="7" t="str">
        <x:v>Drill cuttings dispersion modelling and drill cuttings deposition are identified as potential adverse stressors.</x:v>
      </x:c>
      <x:c r="S63" s="7" t="str">
        <x:v>The report is a benthic habitat monitoring report, including follow-up requirements to assess adverse effects on sensitive coral and sponge habitat.</x:v>
      </x:c>
      <x:c r="T63" s="7" t="str">
        <x:v>This is a substantive monitoring report from an offshore exploration context that directly addresses sediment-related impacts (drill cuttings) on corals and sponges, meeting B02 as a review/assessment/monitoring document with a clear sediment-impact focus.</x:v>
      </x:c>
      <x:c r="U63" s="7" t="str">
        <x:v>The record is a benthic habitat monitoring report associated with exploration drilling, explicitly referencing coral and sponge surveys, sensitive benthic habitat, and drill cuttings dispersion/deposition effects. This qualifies as a substantive assessment/monitoring document under B02, with clear potential to inform sediment effects, exposure, monitoring, and mitigation for corals and sponges. It is not merely a discovery page or news item. B02 is preferable to B01 because the snippet emphasizes the monitoring/regulatory assessment framework rather than direct biological response data. Confidence is high despite limited abstract because the title, source, and snippet clearly indicate a relevant monitoring report.</x:v>
      </x:c>
      <x:c r="V63" s="7" t="str">
        <x:v>ALL_VERIFIED_NON_TROPICAL_TIER_B_INCLUSIONS</x:v>
      </x:c>
      <x:c r="W63" s="7" t="str">
        <x:v>TBV1-0738</x:v>
      </x:c>
    </x:row>
    <x:row r="64" ht="42" customHeight="1">
      <x:c r="A64" s="14" t="str">
        <x:v>B</x:v>
      </x:c>
      <x:c r="B64" s="7" t="str">
        <x:v>CWC-91929E072301</x:v>
      </x:c>
      <x:c r="C64" s="7" t="str">
        <x:v>Environmental changes and growth history of a cold-water carbonate mound (Propeller Mound, Porcupine Seabight)</x:v>
      </x:c>
      <x:c r="D64" s="7" t="str">
        <x:v>Andres Rüggeberg | Christian Dullo | Boris Dorschel | Dierk Hebbeln</x:v>
      </x:c>
      <x:c r="E64" s="11" t="str">
        <x:v>2005</x:v>
      </x:c>
      <x:c r="F64" s="7" t="str">
        <x:v>International Journal of Earth Sciences</x:v>
      </x:c>
      <x:c r="G64" s="7" t="str">
        <x:v>article</x:v>
      </x:c>
      <x:c r="H64" s="7" t="str">
        <x:v>10.1007/s00531-005-0504-1</x:v>
      </x:c>
      <x:c r="I64" s="7" t="str">
        <x:v>https://doi.org/10.1007/s00531-005-0504-1</x:v>
      </x:c>
      <x:c r="J64" s="7" t="str">
        <x:v>On- and off-mound sediment cores from Propeller Mound ( Hovland Mound province, Porcupine Seabight) were analysed to understand better the evolution of a carbonate mound. The evaluation of benthic foraminiferal assemblages from the off-mound position helps to determine the changes of the environmental controls on Propeller Mound in glacial and interglacial times. Two different assemblages describe the Holocene and Marine Isotope Stage (MIS) 2 and late MIS 3 ( similar to 31 kyr BP). The different assemblages are related to changes in oceanographic conditions, surface productivity and the waxing and waning of the British Irish Ice Sheet (BIIS) during the last glacial stages. The interglacial assemblage is related to a higher supply of organic material and stronger current intensities in water depth of recent coral growth. During the last glaciation the benthic faunas showed high abundances of cassidulinid species, implying cold bottom waters and a reduced availability of organic matter. High sedimentation rates and the domination of Elphidium excavatum point to shelf erosion related to sea-level lowering ( similar to 50 m) and the progradation of the BIIS onto the shelf. A different assemblage described for the on-mound core is dominated by Discanomalina coronata, Gavelinopsis translucens, Planulina ariminensis, Cibicides lobatulus and to a lower degree by Hyrrokkin sarcophaga. These species are only found or show significantly higher relative abundances in on-mound samples and their maximum contribution in the lower part of the record indicates a higher coral growth density on Propeller Mound in an earlier period. They are less abundant during the Holocene, however. This dataset portrays the boundary conditions of the habitable range for the cold-water coral Lophelia pertusa, which dominates the deep-water reefal ecosystem on the upper flanks of Propeller Mound. The growth of this ecosystem occurs during interglacial and interstadial periods, whereas a retreat of corals is documented in the absence of glacial sediments on-mound. Glacial conditions with cold intermediate waters, a weak current regime and high sedimentation rates provide an unfavourable environmental setting for Lophelia corals to grow. A Late Pleistocene decrease is observed in the mound growth for Propeller Mound, which might face its complete burial in the future, as it already happened to the buried mounds of the Magellan Mound province further north.</x:v>
      </x:c>
      <x:c r="K64" s="11" t="str">
        <x:v>NO</x:v>
      </x:c>
      <x:c r="L64" s="7" t="str">
        <x:v>NOT_CONFIRMED</x:v>
      </x:c>
      <x:c r="M64" s="7" t="str"/>
      <x:c r="N64" s="7" t="str">
        <x:v>VERIFIED_DOI_DOCUMENT</x:v>
      </x:c>
      <x:c r="O64" s="7" t="str">
        <x:v>B01_DEEP_COLD_SEDIMENT_EVIDENCE</x:v>
      </x:c>
      <x:c r="P64" s="11" t="str">
        <x:v>HIGH</x:v>
      </x:c>
      <x:c r="Q64" s="7" t="str">
        <x:v>Cold-water coral Lophelia pertusa; on-mound foraminiferal assemblages (Discanomalina coronata, Gavelinopsis translucens, etc.) indicate coral growth density.</x:v>
      </x:c>
      <x:c r="R64" s="7" t="str">
        <x:v>High sedimentation rates during glacial periods; weak current regime; cold intermediate waters; potential sedimentary burial of the mound.</x:v>
      </x:c>
      <x:c r="S64" s="7" t="str">
        <x:v>Coral growth occurs during interglacial/interstadial periods; retreat during glacial periods with high sedimentation; documented decrease in mound growth and potential future burial; habitability range of Lophelia pertusa assessed.</x:v>
      </x:c>
      <x:c r="T64" s="7" t="str">
        <x:v>B01_DEEP_COLD_SEDIMENT_EVIDENCE: Deep-sea cold-water coral study with explicit sedimentary process (sedimentation rates, burial) linked to biological/ecological response (coral growth, retreat).</x:v>
      </x:c>
      <x:c r="U64" s="7" t="str">
        <x:v>This article directly investigates cold-water coral (Lophelia pertusa) growth history on Propeller Mound and links environmental controls, including sedimentation rates and burial, to coral growth phases. It documents that high sedimentation rates during glacial periods created unfavourable conditions and led to coral retreat, while interglacial periods supported growth. This is explicit sediment-impact evidence for a deep-sea coral, meeting B01. The closest alternative would be B02 if it were a review or assessment, but it is an original research article with direct sediment–coral response evidence. The abstract provides sufficient detail for a high-confidence decision without needing full text.</x:v>
      </x:c>
      <x:c r="V64" s="7" t="str">
        <x:v>ALL_VERIFIED_CENTRAL_PEER_REVIEWED</x:v>
      </x:c>
      <x:c r="W64" s="7" t="str">
        <x:v>TBV1-0038</x:v>
      </x:c>
    </x:row>
    <x:row r="65" ht="42" customHeight="1">
      <x:c r="A65" s="14" t="str">
        <x:v>B</x:v>
      </x:c>
      <x:c r="B65" s="7" t="str">
        <x:v>CWC-13E01BD1A7E6</x:v>
      </x:c>
      <x:c r="C65" s="7" t="str">
        <x:v>Environmental Impacts of the Deep-Water Oil and Gas Industry: A Review to Guide Management Strategies</x:v>
      </x:c>
      <x:c r="D65" s="7" t="str">
        <x:v>Erik E. Cordes | Daniel O. B. Jones | Thomas A. Schlacher | Diva J. Amon | Ângelo F. Bernardino | Sandra Brooke | Robert S. Carney | Danielle M. DeLeo | Katherine Dunlop | Elva Escobar‐Briones | Andrew R. Gates | Luciana Génio | Judith Gobin | Lea‐Anne Henry | Santiago Herrera | Sarah Hoyt | Mandy Joye | Salit Kark | Nélia C. Mestre | Anna Meta×as | Simone Pfeifer | Kerry Sink | Andrew K. Sweetman | Ursula Witte</x:v>
      </x:c>
      <x:c r="E65" s="11" t="str">
        <x:v>2016</x:v>
      </x:c>
      <x:c r="F65" s="7" t="str">
        <x:v>Frontiers in Environmental Science</x:v>
      </x:c>
      <x:c r="G65" s="7" t="str">
        <x:v>article</x:v>
      </x:c>
      <x:c r="H65" s="7" t="str">
        <x:v>10.3389/fenvs.2016.00058</x:v>
      </x:c>
      <x:c r="I65" s="7" t="str">
        <x:v>https://doi.org/10.3389/fenvs.2016.00058</x:v>
      </x:c>
      <x:c r="J65" s="7" t="str">
        <x:v>The industrialization of the deep sea is expanding worldwide. Increasing oil and gas exploration activities in the absence of sufficient baseline data in deep-sea ecosystems has made environmental management challenging. Here, we review the types of activities that are associated with global offshore oil and gas development in water depths over 200 m, the typical impacts of these activities, some of the more extreme impacts of accidental oil and gas releases, and the current state of management in the major regions of offshore industrial activity including 18 exclusive economic zones. Direct impacts of infrastructure installation, including sediment resuspension and burial by seafloor anchors and pipelines, are typically restricted to a radius of similar to 100 m on from the installation on the seafloor. Discharges of water-based and low-toxicity oil-based drilling muds and produced water can extend over 2 km, while the ecological impacts at the population and community levels on the seafloor are most commonly on the order of 200-300 m from their source. These impacts may persist in the deep sea for many years and likely longer for its more fragile ecosystems, such as cold-water corals. This synthesis of information provides the basis for a series of recommendations for the management of offshore oil and gas development. An effective management strategy, aimed at minimizing risk of significant environmental harm, will typically encompass regulations of the activity itself (e.g., discharge practices, materials used), combined with spatial (e.g., avoidance rules and marine protected areas), and temporal measures (e.g., restricted activities during peak reproductive periods). Spatial management measures that encompass representatives of all of the regional deep-sea community types is important in this context. Implementation of these management strategies should consider minimum buffer zones to displace industrial activity beyond the range of typical impacts: at least 2 km from any discharge points and surface infrastructure and 200 m from seafloor infrastructure with no expected discharges. Although managing natural resources is, arguably, more challenging in deep-water environments, inclusion of these proven conservation tools contributes to robust environmental management strategies for oil and gas extraction in the deep sea.</x:v>
      </x:c>
      <x:c r="K65" s="11" t="str">
        <x:v>YES</x:v>
      </x:c>
      <x:c r="L65" s="7" t="str">
        <x:v>FROZEN_PUBLIC_FULL_TEXT_LOCATION</x:v>
      </x:c>
      <x:c r="M65" s="7" t="str">
        <x:v>https://www.frontiersin.org/articles/10.3389/fenvs.2016.00058/pdf</x:v>
      </x:c>
      <x:c r="N65" s="7" t="str">
        <x:v>VERIFIED_DOI_DOCUMENT</x:v>
      </x:c>
      <x:c r="O65" s="7" t="str">
        <x:v>B02_DEEP_COLD_REVIEW_ASSESSMENT</x:v>
      </x:c>
      <x:c r="P65" s="11" t="str">
        <x:v>HIGH</x:v>
      </x:c>
      <x:c r="Q65" s="7" t="str">
        <x:v>Deep-sea ecosystems, with explicit mention of cold-water corals as fragile ecosystems potentially impacted by oil and gas activities.</x:v>
      </x:c>
      <x:c r="R65" s="7" t="str">
        <x:v>Sediment resuspension and burial by seafloor anchors and pipelines; discharges of water-based and low-toxicity oil-based drilling muds; produced water extending over 2 km.</x:v>
      </x:c>
      <x:c r="S65" s="7" t="str">
        <x:v>Population and community-level ecological impacts typically 200-300 m from source, with persistence for many years and longer for cold-water corals; management strategy recommendations.</x:v>
      </x:c>
      <x:c r="T65" s="7" t="str">
        <x:v>Substantive review article focused on deep-water oil and gas environmental impacts, directly addressing sediment-related pathways and their effects on deep-sea biota including cold-water corals, with management implications.</x:v>
      </x:c>
      <x:c r="U65" s="7" t="str">
        <x:v>This is a peer-reviewed review of environmental impacts from deep-water oil and gas, explicitly covering sediment resuspension, burial, and drilling-mud discharges. It identifies cold-water corals as fragile and discusses ecological impacts and management buffers. This qualifies under B02 because it is a substantive deep/cold review with a direct sediment-impact focus and provides assessment value for sediment-related effects and mitigation. It is preferable to B05 as the sediment-coral focus is clear within the review. Exclusions do not apply because it includes target organisms and stressors.</x:v>
      </x:c>
      <x:c r="V65" s="7" t="str">
        <x:v>ALL_VERIFIED_CENTRAL_PEER_REVIEWED</x:v>
      </x:c>
      <x:c r="W65" s="7" t="str">
        <x:v>TBV1-0054</x:v>
      </x:c>
    </x:row>
    <x:row r="66" ht="42" customHeight="1">
      <x:c r="A66" s="14" t="str">
        <x:v>B</x:v>
      </x:c>
      <x:c r="B66" s="7" t="str">
        <x:v>CWC-A577FACD55AD</x:v>
      </x:c>
      <x:c r="C66" s="7" t="str">
        <x:v>Environmental Management and Visual Mapping as Alternative Monitoring in Heterogeneous Areas</x:v>
      </x:c>
      <x:c r="D66" s="7" t="str">
        <x:v>Tor Jensen | Laurence Pinturier | Amund Ulfsnes | Ulf Moltu</x:v>
      </x:c>
      <x:c r="E66" s="11" t="str">
        <x:v>2010</x:v>
      </x:c>
      <x:c r="F66" s="7" t="str">
        <x:v>Proceedings of SPE International Conference on Health, Safety, and Environment in Oil and Gas Exploration and Production</x:v>
      </x:c>
      <x:c r="G66" s="7" t="str">
        <x:v>conference-paper</x:v>
      </x:c>
      <x:c r="H66" s="7" t="str">
        <x:v>10.2523/126567-ms</x:v>
      </x:c>
      <x:c r="I66" s="7" t="str">
        <x:v>https://doi.org/10.2523/126567-ms</x:v>
      </x:c>
      <x:c r="J66" s="7" t="str">
        <x:v>Environmental Management and Visual Mapping as Alternative Monitoring in Heterogeneous Areas Tor Jensen; Tor Jensen DNV Search for other works by this author on: This Site Google Scholar Laurence Maryvonne Pinturier; Laurence Maryvonne Pinturier TOTAL E&amp;P NORGE AS Search for other works by this author on: This Site Google Scholar Amund Ulfsnes; Amund Ulfsnes DNV Search for other works by this author on: This Site Google Scholar Ulf Einar Moltu Ulf Einar Moltu TOTAL E&amp;P NORGE AS Search for other works by this author on: This Site Google Scholar Paper presented at the SPE International Conference on Health, Safety and Environment in Oil and Gas Exploration and Production, Rio de Janeiro, Brazil, April 2010. Paper Number: SPE-126567-MS https://doi.org/10.2118/126567-MS Published: April 12 2010 Cite View This Citation Add to Citation Manager Share Icon Share Twitter LinkedIn Get Permissions Search Site Citation Jensen, Tor , Pinturier, Laurence Maryvonne, Ulfsnes, Amund , and Ulf Einar Moltu. "Environmental Management and Visual Mapping as Alternative Monitoring in Heterogeneous Areas." Paper presented at the SPE International Conference on Health, Safety and Environment in Oil and Gas Exploration and Production, Rio de Janeiro, Brazil, April 2010. doi: https://doi.org/10.2118/126567-MS Download citation file: Ris (Zotero) Reference Manager EasyBib Bookends Mendeley Papers EndNote RefWorks BibTex Search nav search search input Search input auto suggest search filter All ContentAll ProceedingsSociety of Petroleum Engineers (SPE)SPE International Conference and Exhibition on Health, Safety, Environment, and Sustainability Search Advanced Search Abstract Environmental Baseline Study (EBS) in Norway has been carried out as traditional sediment sampling at the planned production site for biological, chemical and physical analysis prior to production drilling according to regulation. The extent of such study should be related to the risk of impact from the planned operations. This baseline can then be used as a reference for future environmental monitoring. Equally important is the contribution to environmental impact assessments defining the measures to eliminate, limit or offsetting the adverse effects that the operation could generate. For the Victoria location, a traditional EBS based on sediment sampling was not considered beneficial due to both anticipated coarse sediment as well as presence of corals at the elevated ridge south west in the area. A comprehensive study including sediment analysis, visual mapping with ROV (Remotely Operated Vehicle), current measurements and interpretation of side scan sonar data and bathymetry data was therefore applied to meet the challenges at Victoria. The video lines covered more than 130 km of sea bed and the interpretation enabled categorisation of the seabed in soft bottom, rocks and reef building corals. Still photos and HD videos of the major corals structures were used to identify the dominant species and assess their health status (dead, poor, live). Results were transferred to a GIS to define the optimal position of anchoring corridors minimising interference with sensitive ecosystems. The combination of the different methods used in the EBS gives a thorough coverage of the area. The amount and quality of data gathered also beyond the location of the appraisal well location, allow a proper assessment of the sensitivity of the area at the field scale. Based on the experiences gained, it is recommended that future monitoring in areas comprising different habitats (soft bottom, rocky habitat etc.) apply different dedicated monitoring methods. For the visual monitoring a recommendation of approaches are: ‒Turbidity and current should be measured before and during drilling to document the dispersion of particles to secure the monitoring strategies.‒Establish photo stations and indicator species to be monitored based on the data from turbidity and current measurements.‒The use of a GIS based map system is highly recommended to handle the amount of data collected in an efficient and presentable way.‒Collected data from future surveys should be implemented in the already existing GIS based map system of the Victoria site to secure an up to date database. Keywords: soft bottom, substrate, upstream oil &amp; gas, crescent, drilling, sediment, lophelia pertusa, corridor, well location, rov Subjects: Environment Copyright 2010, Society of Petroleum Engineers You can access this article if you purchase or spend a download.</x:v>
      </x:c>
      <x:c r="K66" s="11" t="str">
        <x:v>NO</x:v>
      </x:c>
      <x:c r="L66" s="7" t="str">
        <x:v>NOT_CONFIRMED</x:v>
      </x:c>
      <x:c r="M66" s="7" t="str"/>
      <x:c r="N66" s="7" t="str">
        <x:v>VERIFIED_DOI_DOCUMENT</x:v>
      </x:c>
      <x:c r="O66" s="7" t="str">
        <x:v>B01_DEEP_COLD_SEDIMENT_EVIDENCE</x:v>
      </x:c>
      <x:c r="P66" s="11" t="str">
        <x:v>HIGH</x:v>
      </x:c>
      <x:c r="Q66" s="7" t="str">
        <x:v>Lophelia pertusa and reef-building corals in a deep/cold-water setting (Norway). Health status assessed via ROV.</x:v>
      </x:c>
      <x:c r="R66" s="7" t="str">
        <x:v>Sediment analysis, turbidity and current measurements before/during drilling, and particle dispersion documentation.</x:v>
      </x:c>
      <x:c r="S66" s="7" t="str">
        <x:v>Coral health status (dead, poor, live), mapping of sensitive habitats, monitoring strategies for drilling impacts.</x:v>
      </x:c>
      <x:c r="T66" s="7" t="str">
        <x:v>Provides direct monitoring/assessment evidence of sediment-related impacts on cold-water corals, including turbidity and drilling particle dispersion.</x:v>
      </x:c>
      <x:c r="U66" s="7" t="str">
        <x:v>This conference paper describes an environmental baseline study at a Norwegian site where corals (Lophelia pertusa) and drilling are present. It explicitly mentions sediment analysis, visual ROV mapping, coral health assessment, and turbidity/current measurements to document particle dispersion during drilling. This is substantive evidence of sediment/drilling-related monitoring and impact assessment for deep/cold-water corals, fitting B01. It is excluded from CHAIN_ONLY because the coral-sediment linkage is clear, not just a reference source.</x:v>
      </x:c>
      <x:c r="V66" s="7" t="str">
        <x:v>ALL_VERIFIED_NON_TROPICAL_TIER_B_INCLUSIONS</x:v>
      </x:c>
      <x:c r="W66" s="7" t="str">
        <x:v>TBV1-0118</x:v>
      </x:c>
    </x:row>
    <x:row r="67" ht="42" customHeight="1">
      <x:c r="A67" s="14" t="str">
        <x:v>B</x:v>
      </x:c>
      <x:c r="B67" s="7" t="str">
        <x:v>CWC-54A0F8F59E46</x:v>
      </x:c>
      <x:c r="C67" s="7" t="str">
        <x:v>Environmental Management and Visual Mapping as Alternative Monitoring in Heterogeneous Areas</x:v>
      </x:c>
      <x:c r="D67" s="7" t="str">
        <x:v>Tor Jensen | Laurence Pinturier | Amund Ulfsnes | Ulf Moltu</x:v>
      </x:c>
      <x:c r="E67" s="11" t="str">
        <x:v>2010</x:v>
      </x:c>
      <x:c r="F67" s="7" t="str">
        <x:v>SPE International Conference on Health, Safety and Environment in Oil and Gas Exploration and Production</x:v>
      </x:c>
      <x:c r="G67" s="7" t="str">
        <x:v>conference-paper</x:v>
      </x:c>
      <x:c r="H67" s="7" t="str">
        <x:v>10.2118/126567-ms</x:v>
      </x:c>
      <x:c r="I67" s="7" t="str">
        <x:v>https://doi.org/10.2118/126567-ms</x:v>
      </x:c>
      <x:c r="J67" s="7" t="str">
        <x:v>Abstract Environmental Baseline Study (EBS) in Norway has been carried out as traditional sediment sampling at the planned production site for biological, chemical and physical analysis prior to production drilling according to regulation. The extent of such study should be related to the risk of impact from the planned operations. This baseline can then be used as a reference for future environmental monitoring. Equally important is the contribution to environmental impact assessments defining the measures to eliminate, limit or offsetting the adverse effects that the operation could generate. For the Victoria location, a traditional EBS based on sediment sampling was not considered beneficial due to both anticipated coarse sediment as well as presence of corals at the elevated ridge south west in the area. A comprehensive study including sediment analysis, visual mapping with ROV (Remotely Operated Vehicle), current measurements and interpretation of side scan sonar data and bathymetry data was therefore applied to meet the challenges at Victoria. The video lines covered more than 130 km of sea bed and the interpretation enabled categorisation of the seabed in soft bottom, rocks and reef building corals. Still photos and HD videos of the major corals structures were used to identify the dominant species and assess their health status (dead, poor, live). Results were transferred to a GIS to define the optimal position of anchoring corridors minimising interference with sensitive ecosystems. The combination of the different methods used in the EBS gives a thorough coverage of the area. The amount and quality of data gathered also beyond the location of the appraisal well location, allow a proper assessment of the sensitivity of the area at the field scale. Based on the experiences gained, it is recommended that future monitoring in areas comprising different habitats (soft bottom, rocky habitat etc.) apply different dedicated monitoring methods. For the visual monitoring a recommendation of approaches are: ‒Turbidity and current should be measured before and during drilling to document the dispersion of particles to secure the monitoring strategies.‒Establish photo stations and indicator species to be monitored based on the data from turbidity and current measurements.‒The use of a GIS based map system is highly recommended to handle the amount of data collected in an efficient and presentable way.‒Collected data from future surveys should be implemented in the already existing GIS based map system of the Victoria site to secure an up to date database.</x:v>
      </x:c>
      <x:c r="K67" s="11" t="str">
        <x:v>NO</x:v>
      </x:c>
      <x:c r="L67" s="7" t="str">
        <x:v>NOT_CONFIRMED</x:v>
      </x:c>
      <x:c r="M67" s="7" t="str"/>
      <x:c r="N67" s="7" t="str">
        <x:v>VERIFIED_DOI_DOCUMENT</x:v>
      </x:c>
      <x:c r="O67" s="7" t="str">
        <x:v>B02_DEEP_COLD_REVIEW_ASSESSMENT</x:v>
      </x:c>
      <x:c r="P67" s="11" t="str">
        <x:v>HIGH</x:v>
      </x:c>
      <x:c r="Q67" s="7" t="str">
        <x:v>Reef-building corals (dominant species identified via ROV stills/HD videos) with health status categorized as dead, poor, or live; presence of corals at elevated ridge in Victoria, Norway.</x:v>
      </x:c>
      <x:c r="R67" s="7" t="str">
        <x:v>Sediment analysis, turbidity and current measurements before and during drilling to document particle dispersion, anchoring corridors, and potential drilling-related sediment impacts.</x:v>
      </x:c>
      <x:c r="S67" s="7" t="str">
        <x:v>Health status assessment of coral structures (dead, poor, live); sensitivity assessment at field scale; monitoring recommendations including turbidity/current monitoring and photo stations for indicator species.</x:v>
      </x:c>
      <x:c r="T67" s="7" t="str">
        <x:v>Substantive conference paper describing an environmental baseline/monitoring study for a cold-water coral site in Norway, with explicit sediment and turbidity pathway and direct coral health/condition assessment, informing impact assessment and monitoring.</x:v>
      </x:c>
      <x:c r="U67" s="7" t="str">
        <x:v>The record describes an environmental baseline study in a Norwegian area with cold-water corals, using sediment sampling, ROV visual mapping, and health-status classification of corals. It explicitly addresses sediment-related stressors (turbidity and particle dispersion from drilling) and provides monitoring recommendations. This qualifies as B02 (deep/cold review/assessment) because it is a substantive monitoring/assessment document with direct sediment-impact focus and potential to inform effects, exposure, thresholds, vulnerability, mitigation, or recovery. B01 is a closer fit for direct evidence, but B02 more precisely captures the monitoring/assessment character. Excluded because organisms and sediment pathway are clearly present; not CHAIN_ONLY or EXCLUDE.</x:v>
      </x:c>
      <x:c r="V67" s="7" t="str">
        <x:v>ALL_VERIFIED_NON_TROPICAL_TIER_B_INCLUSIONS</x:v>
      </x:c>
      <x:c r="W67" s="7" t="str">
        <x:v>TBV1-0146</x:v>
      </x:c>
    </x:row>
    <x:row r="68" ht="42" customHeight="1">
      <x:c r="A68" s="14" t="str">
        <x:v>B</x:v>
      </x:c>
      <x:c r="B68" s="7" t="str">
        <x:v>CWC-1E5B9E081AE4</x:v>
      </x:c>
      <x:c r="C68" s="7" t="str">
        <x:v>Environmental Monitoring and Modeling of Drilling Discharges at a Location with Vulnerable Seabed Fauna: Comparison between Field Measurements and Model Simulations</x:v>
      </x:c>
      <x:c r="D68" s="7" t="str">
        <x:v>Tone Karin Frost | Janne L. Myrhaug | May Kristin Ditlevsen | Henrik Rye</x:v>
      </x:c>
      <x:c r="E68" s="11" t="str">
        <x:v>2014</x:v>
      </x:c>
      <x:c r="F68" s="7" t="str"/>
      <x:c r="G68" s="7" t="str">
        <x:v>conference-paper</x:v>
      </x:c>
      <x:c r="H68" s="7" t="str">
        <x:v>10.2118/168328-ms</x:v>
      </x:c>
      <x:c r="I68" s="7" t="str">
        <x:v>https://doi.org/10.2118/168328-ms</x:v>
      </x:c>
      <x:c r="J68" s="7" t="str">
        <x:v>Abstract Offshore drilling activities were carried out by Statoil at the Hyme field, located in the Norwegian Sea, in an area with vulnerable seabed fauna. Cold water corals (Lophelia) were identified in vicinity of the drilling well location. Drilling activities in sensitive areas requires that the operator perform an assessment of potential impact or risk of drilling discharges prior to the drilling operation. The risk assessment is an input to the planning of the drilling operation with regards to minimize negative impacts on corals or other vulnerable fauna present. In addition, environmental monitoring during the drilling operation is undertaken in such areas, to document and, if possible, prevent potential impacts on the seabed fauna. The monitoring program at the Hyme field included measurements of ocean currents, temperature, salinity, turbidity and sedimentation of particles at the drilling location during the drilling operation. After drilling, the environmental risk assessment was updated with actual current data and high resolution discharge data for the whole discharge period. The results from the field measurements were used for validation of model simulations of dispersion and deposition of discharged drilling particles, in order to predict actual exposure and consequently potential effects or risk to the corals. In the present paper a comparison between model simulations and field measurements is presented. The model predicted particle exposure concentrations and burial of corals will be verified against turbidity measurements in the water column and particle sedimentation measurements at different distances from the discharge points. A high level accuracy in the model simulations, as basis for assessment of potential impacts to biota, is of high importance. This enables the operator to evaluate alternatives with regards to drilling discharge solutions (discharge point etc.) with lowest impact on environmental resources at the drilling site prior to drilling. A high level of accuracy is also important in the validation of the simulation.</x:v>
      </x:c>
      <x:c r="K68" s="11" t="str">
        <x:v>NO</x:v>
      </x:c>
      <x:c r="L68" s="7" t="str">
        <x:v>NOT_CONFIRMED</x:v>
      </x:c>
      <x:c r="M68" s="7" t="str"/>
      <x:c r="N68" s="7" t="str">
        <x:v>VERIFIED_DOI_DOCUMENT</x:v>
      </x:c>
      <x:c r="O68" s="7" t="str">
        <x:v>B02_DEEP_COLD_REVIEW_ASSESSMENT</x:v>
      </x:c>
      <x:c r="P68" s="11" t="str">
        <x:v>HIGH</x:v>
      </x:c>
      <x:c r="Q68" s="7" t="str">
        <x:v>Cold water corals (Lophelia) identified in vicinity of the drilling well location in the Norwegian Sea.</x:v>
      </x:c>
      <x:c r="R68" s="7" t="str">
        <x:v>Drilling discharges, including suspended particles, turbidity, sedimentation, and potential burial of corals from drilling activities.</x:v>
      </x:c>
      <x:c r="S68" s="7" t="str">
        <x:v>Environmental monitoring during drilling (currents, turbidity, sedimentation) and model simulations to predict exposure, burial, and potential impacts/risk to corals; comparison of field measurements and model predictions.</x:v>
      </x:c>
      <x:c r="T68" s="7" t="str">
        <x:v>A substantive conference paper describing an environmental monitoring and risk assessment program for drilling discharges at a site with cold-water corals, directly focused on sediment-impact assessment and potential effects on corals.</x:v>
      </x:c>
      <x:c r="U68" s="7" t="str">
        <x:v>This record is an identifiable substantive conference paper on environmental monitoring and modeling of drilling discharges at a location with cold-water corals (Lophelia) in the Norwegian Sea. The abstract explicitly addresses sediment-related pathways (turbidity, particle sedimentation, burial) and their potential impacts on corals, including model simulations to predict exposure and risk. This meets Tier B B02 as a monitoring/assessment document with direct sediment-impact focus. It is not excluded because it contains coral-specific evidence and sediment pathway, not just physical modeling. The closest alternative would be B01, but B02 better captures the monitoring/assessment nature without direct biological response data. Confidence is high based on abstract content.</x:v>
      </x:c>
      <x:c r="V68" s="7" t="str">
        <x:v>ALL_VERIFIED_NON_TROPICAL_TIER_B_INCLUSIONS</x:v>
      </x:c>
      <x:c r="W68" s="7" t="str">
        <x:v>TBV1-0075</x:v>
      </x:c>
    </x:row>
    <x:row r="69" ht="42" customHeight="1">
      <x:c r="A69" s="14" t="str">
        <x:v>B</x:v>
      </x:c>
      <x:c r="B69" s="7" t="str">
        <x:v>CWC-683F99F31B69</x:v>
      </x:c>
      <x:c r="C69" s="7" t="str">
        <x:v>Environmental Monitoring Report - Morvin 2009-2010</x:v>
      </x:c>
      <x:c r="D69" s="7" t="str"/>
      <x:c r="E69" s="11" t="str"/>
      <x:c r="F69" s="7" t="str">
        <x:v>Institute of Marine Research</x:v>
      </x:c>
      <x:c r="G69" s="7" t="str">
        <x:v>monitoring_report</x:v>
      </x:c>
      <x:c r="H69" s="7" t="str"/>
      <x:c r="I69" s="7" t="str">
        <x:v>https://www.hi.no/resources/publikasjoner/rapport-fra-havforskningen/andre_rapporter/morvin_environmental_monitoring_report_2_.pdf</x:v>
      </x:c>
      <x:c r="J69" s="7" t="str">
        <x:v>drilling phase. We were then looking for any abnormal changes in behaviour or generation of mucus (slime that the coral produces under stress) on corals exposed to plumes of drill cuttings. Three sets of time series were post processed for more detailed results on behavioural patterns. Two time series were taken from the onboard camera of the ROV and one from the camera satellite, connected with cable to a lander. The ROV time series were used for a general comparison of behavioural patterns [...] may be one factor that could lead to polyp retraction. In such conditions the polyps are not able</x:v>
      </x:c>
      <x:c r="K69" s="11" t="str">
        <x:v>YES</x:v>
      </x:c>
      <x:c r="L69" s="7" t="str">
        <x:v>FROZEN_PUBLIC_FULL_TEXT_LOCATION</x:v>
      </x:c>
      <x:c r="M69" s="7" t="str">
        <x:v>https://www.hi.no/resources/publikasjoner/rapport-fra-havforskningen/andre_rapporter/morvin_environmental_monitoring_report_2_.pdf</x:v>
      </x:c>
      <x:c r="N69" s="7" t="str">
        <x:v>VERIFIED_DIRECT_DOCUMENT_URL</x:v>
      </x:c>
      <x:c r="O69" s="7" t="str">
        <x:v>B01_DEEP_COLD_SEDIMENT_EVIDENCE</x:v>
      </x:c>
      <x:c r="P69" s="11" t="str">
        <x:v>HIGH</x:v>
      </x:c>
      <x:c r="Q69" s="7" t="str">
        <x:v>Cold-water corals, likely Lophelia pertusa or similar, exposed to drill cuttings plumes; the report describes coral behaviour under stress, including mucus production and polyp retraction.</x:v>
      </x:c>
      <x:c r="R69" s="7" t="str">
        <x:v>Drill cuttings plumes, a sediment/deposition pathway from drilling operations, directly examined in an environmental monitoring context.</x:v>
      </x:c>
      <x:c r="S69" s="7" t="str">
        <x:v>Monitoring of coral behavior (mucus production, polyp retraction) and potential abnormal changes as biological impact indicators, with time-series analysis.</x:v>
      </x:c>
      <x:c r="T69" s="7" t="str">
        <x:v>This is a deep/cold-water coral monitoring report with explicit sediment-related pathway (drill cuttings) and biological response evidence, fitting B01_DEEP_COLD_SEDIMENT_EVIDENCE.</x:v>
      </x:c>
      <x:c r="U69" s="7" t="str">
        <x:v>The document is an environmental monitoring report from the Institute of Marine Research focusing on corals exposed to drill cuttings plumes during drilling. The abstract explicitly mentions looking for abnormal changes in behavior or mucus production in corals, and notes polyp retraction—all direct biological responses to sediment stress. This clearly meets Tier B pathway B01 (deep/cold sediment evidence) as it provides monitoring and impact evidence for cold-water corals under sediment exposure. The alternative B02 would also apply as a monitoring report, but B01 is more specific because it directly documents biological responses. Excluded because the organism (coral) and stressor (drill cuttings) are central, not peripheral.</x:v>
      </x:c>
      <x:c r="V69" s="7" t="str">
        <x:v>ALL_VERIFIED_NON_TROPICAL_TIER_B_INCLUSIONS</x:v>
      </x:c>
      <x:c r="W69" s="7" t="str">
        <x:v>TBV1-0231</x:v>
      </x:c>
    </x:row>
    <x:row r="70" ht="42" customHeight="1">
      <x:c r="A70" s="14" t="str">
        <x:v>B</x:v>
      </x:c>
      <x:c r="B70" s="7" t="str">
        <x:v>CWC-CB8F5A138FD9</x:v>
      </x:c>
      <x:c r="C70" s="7" t="str">
        <x:v>ENVIRONMENTAL SEABED SURVEY PROGRAM</x:v>
      </x:c>
      <x:c r="D70" s="7" t="str"/>
      <x:c r="E70" s="11" t="str">
        <x:v>2024</x:v>
      </x:c>
      <x:c r="F70" s="7" t="str">
        <x:v>Equinor Canada Ltd.</x:v>
      </x:c>
      <x:c r="G70" s="7" t="str">
        <x:v>monitoring_report</x:v>
      </x:c>
      <x:c r="H70" s="7" t="str"/>
      <x:c r="I70" s="7" t="str">
        <x:v>https://cdn.equinor.com/files/h61q9gi9/global/fb47f9e3ee1e178e2dacbb4ef622c886730a0ed2.pdf?equinor-2023-survey-report-final-v5-wapp.pdf=</x:v>
      </x:c>
      <x:c r="J70" s="7" t="str">
        <x:v>Equinor 2023 Survey Project No. TE23721001 Equinor Canada Ltd. WSP March 2024 Page 19 Figure 3-3 Largest grain size percent present for the Sitka wellsite area (by section) Equinor 2023 Survey Project No. TE23721001 Equinor Canada Ltd. WSP March 2024 Page 20 Figure 3-4 Sea pen abundance for the Sitka wellsite area (by section) Equinor 2023 Survey Project No. TE23721001 Equinor Canada Ltd. WSP March 2024 Page 21 Figure 3-5 Sea pen density for the Sitka wellsite area (by section) Equinor 2023 Survey Project No. TE23721001 Equinor Canada Ltd. WSP March 2024 Page 22 Figure 3-6 Small gorgonian abun</x:v>
      </x:c>
      <x:c r="K70" s="11" t="str">
        <x:v>YES</x:v>
      </x:c>
      <x:c r="L70" s="7" t="str">
        <x:v>FROZEN_PUBLIC_FULL_TEXT_LOCATION</x:v>
      </x:c>
      <x:c r="M70" s="7" t="str">
        <x:v>https://cdn.equinor.com/files/h61q9gi9/global/fb47f9e3ee1e178e2dacbb4ef622c886730a0ed2.pdf?equinor-2023-survey-report-final-v5-wapp.pdf=</x:v>
      </x:c>
      <x:c r="N70" s="7" t="str">
        <x:v>VERIFIED_DIRECT_DOCUMENT_URL</x:v>
      </x:c>
      <x:c r="O70" s="7" t="str">
        <x:v>B02_DEEP_COLD_REVIEW_ASSESSMENT</x:v>
      </x:c>
      <x:c r="P70" s="11" t="str">
        <x:v>MEDIUM</x:v>
      </x:c>
      <x:c r="Q70" s="7" t="str">
        <x:v>Sea pens (abundance and density) and small gorgonians (abundance) in the Sitka wellsite area.</x:v>
      </x:c>
      <x:c r="R70" s="7" t="str">
        <x:v>Sediment grain size data (largest grain size percent) at the Sitka wellsite, reflecting seabed sediment characteristics relevant to potential drilling-related disturbance or deposition.</x:v>
      </x:c>
      <x:c r="S70" s="7" t="str">
        <x:v>Environmental seabed survey monitoring report providing baseline abundance and density of sea pens and gorgonians alongside sediment physical data, with potential to inform sediment-related effects, exposure, and environmental assessment for cold-water corals.</x:v>
      </x:c>
      <x:c r="T70" s="7" t="str">
        <x:v>B02_DEEP_COLD_REVIEW_ASSESSMENT: A substantive industry monitoring report for a cold-water wellsite, directly reporting sediment properties and coral (sea pen, gorgonian) distributions, with clear potential to inform sediment-impact assessments and mitigation.</x:v>
      </x:c>
      <x:c r="U70" s="7" t="str">
        <x:v>This document is a 2024 environmental seabed survey monitoring report from Equinor Canada for the Sitka wellsite. The abstract/snippet explicitly mentions sediment grain size data and sea pen and gorgonian abundance and density in the same context, indicating a coupled assessment of physical seabed conditions and sensitive cold-water coral taxa. This fits B02 as a substantive monitoring report with a direct sediment-impact focus and clear potential to inform effects, exposure, or mitigation in a deep/cold-water setting. It is not merely a discovery webpage or a broad benthic study without separate coral/sponge evidence. The choice is TIER_B_INCLUDE rather than CHAIN_ONLY because the content indicates direct sediment and coral evidence, though full-text verification is needed to confirm the strength of the linkage. Confidence is medium given the limited snippet, which is why needs_full_text is true.</x:v>
      </x:c>
      <x:c r="V70" s="7" t="str">
        <x:v>ALL_VERIFIED_NON_TROPICAL_TIER_B_INCLUSIONS</x:v>
      </x:c>
      <x:c r="W70" s="7" t="str">
        <x:v>TBV1-0324</x:v>
      </x:c>
    </x:row>
    <x:row r="71" ht="42" customHeight="1">
      <x:c r="A71" s="14" t="str">
        <x:v>B</x:v>
      </x:c>
      <x:c r="B71" s="7" t="str">
        <x:v>CWC-0B58FB88242C</x:v>
      </x:c>
      <x:c r="C71" s="7" t="str">
        <x:v>Ephesus pre-drilling June 2022 Seabed Investigation Report</x:v>
      </x:c>
      <x:c r="D71" s="7" t="str"/>
      <x:c r="E71" s="11" t="str">
        <x:v>2022</x:v>
      </x:c>
      <x:c r="F71" s="7" t="str">
        <x:v>RPS</x:v>
      </x:c>
      <x:c r="G71" s="7" t="str">
        <x:v>monitoring_report</x:v>
      </x:c>
      <x:c r="H71" s="7" t="str"/>
      <x:c r="I71" s="7" t="str">
        <x:v>https://www.bp.com/content/dam/bp/business-sites/en/global/corporate/pdfs/what-we-do/worldwide/newfoundland-and-labrador/pre-drilling-june-2022-seabed-investigation-report.pdf</x:v>
      </x:c>
      <x:c r="J71" s="7" t="str">
        <x:v>SURVEY REPORT 217649 | Ephesus Pre-Drilling Benthic Fauna (Coral &amp; Sponge) Survey | Final | 23 September 2022 rpsgroup.com Page 12 3.1.5 Corals (Other than Sea Pens) Seven species of cold-water corals, aside from the sea pens were observed. Six under class (Octocorallia: Alcyonacae) were recorded in the survey area namely, Acanella arbuscula, Acanthogorgia armata, Anthomastus, Duva, Gersemia, Radicipes gracilis and one under class (Hexacorallia: Antipatharia), the Stichopathes. The black coral [...] groups according to E. Kenchington et al. 2015. Taxonomic identification was dependant on quali</x:v>
      </x:c>
      <x:c r="K71" s="11" t="str">
        <x:v>YES</x:v>
      </x:c>
      <x:c r="L71" s="7" t="str">
        <x:v>FROZEN_PUBLIC_FULL_TEXT_LOCATION</x:v>
      </x:c>
      <x:c r="M71" s="7" t="str">
        <x:v>https://www.bp.com/content/dam/bp/business-sites/en/global/corporate/pdfs/what-we-do/worldwide/newfoundland-and-labrador/pre-drilling-june-2022-seabed-investigation-report.pdf</x:v>
      </x:c>
      <x:c r="N71" s="7" t="str">
        <x:v>VERIFIED_DIRECT_DOCUMENT_URL</x:v>
      </x:c>
      <x:c r="O71" s="7" t="str">
        <x:v>B02_DEEP_COLD_REVIEW_ASSESSMENT</x:v>
      </x:c>
      <x:c r="P71" s="11" t="str">
        <x:v>MEDIUM</x:v>
      </x:c>
      <x:c r="Q71" s="7" t="str">
        <x:v>Cold-water corals (Acanella arbuscula, Acanthogorgia armata, Anthomastus, Duva, Gersemia, Radicipes gracilis, Stichopathes) and presumably sponges surveyed.</x:v>
      </x:c>
      <x:c r="R71" s="7" t="str">
        <x:v>Pre-drilling seabed investigation for an offshore drilling project, indicating potential sediment-related disturbance from drilling activities.</x:v>
      </x:c>
      <x:c r="S71" s="7" t="str">
        <x:v>Baseline monitoring of coral and sponge presence and distribution, providing ecological data to inform impact assessment for drilling-related sediment disturbance.</x:v>
      </x:c>
      <x:c r="T71" s="7" t="str">
        <x:v>B02_DEEP_COLD_REVIEW_ASSESSMENT</x:v>
      </x:c>
      <x:c r="U71" s="7" t="str">
        <x:v>This is a pre-drilling seabed investigation report for the Ephesus project, explicitly documenting cold-water coral and sponge fauna in an area to be drilled. As a monitoring report tied to offshore drilling, it directly informs assessment of potential sediment-related impacts on deep-sea corals and sponges. The title and context establish a clear link to drilling-related sediment disturbance, making it a substantive assessment document eligible under B02. The closest alternative would be CHAIN_ONLY if the sediment focus were unclear, but the pre-drilling context justifies inclusion. Full text is needed to confirm the sediment-impact focus and specific assessment content.</x:v>
      </x:c>
      <x:c r="V71" s="7" t="str">
        <x:v>ALL_VERIFIED_NON_TROPICAL_TIER_B_INCLUSIONS</x:v>
      </x:c>
      <x:c r="W71" s="7" t="str">
        <x:v>TBV1-0147</x:v>
      </x:c>
    </x:row>
    <x:row r="72" ht="42" customHeight="1">
      <x:c r="A72" s="14" t="str">
        <x:v>B</x:v>
      </x:c>
      <x:c r="B72" s="7" t="str">
        <x:v>GLV4-877A276EC7DA</x:v>
      </x:c>
      <x:c r="C72" s="7" t="str">
        <x:v>European Lifestyles and Marine Ecosystems - CORDIS</x:v>
      </x:c>
      <x:c r="D72" s="7" t="str"/>
      <x:c r="E72" s="11" t="str"/>
      <x:c r="F72" s="7" t="str">
        <x:v>cordis.europa.eu</x:v>
      </x:c>
      <x:c r="G72" s="7" t="str">
        <x:v>report</x:v>
      </x:c>
      <x:c r="H72" s="7" t="str"/>
      <x:c r="I72" s="7" t="str">
        <x:v>https://cordis.europa.eu/docs/projects/files/505/505576/106255051-6_en.pdf</x:v>
      </x:c>
      <x:c r="J72" s="7" t="str">
        <x:v>Lophelia pertusa reef Plankton biomass [Contaminant] seawater Mechanical disturbance severity Mechanical disturbance frequency Mechanical disturbance extent Larval recruitment Sedimentation Water current flow Water temperature Oil &amp; gas extraction Dredging &amp; trawling effort Fig. 20 Conceptual model for Lophelia pertusa biogenic reef habitat with the simulation model embedded within it (colours follow those used in the regional model). [...] P from sediment N fixation Turbidity Recruitment [Contam.] seawater Zoobenthos Zooplankton Macrophytes Filament. algae Cod stocks Sprat stocks Toxins in fi</x:v>
      </x:c>
      <x:c r="K72" s="11" t="str">
        <x:v>YES</x:v>
      </x:c>
      <x:c r="L72" s="7" t="str">
        <x:v>PUBLIC_FULL_DOCUMENT_LOCATION</x:v>
      </x:c>
      <x:c r="M72" s="7" t="str">
        <x:v>https://cordis.europa.eu/docs/projects/files/505/505576/106255051-6_en.pdf</x:v>
      </x:c>
      <x:c r="N72" s="7" t="str">
        <x:v>VERIFIED_DIRECT_DOCUMENT_URL</x:v>
      </x:c>
      <x:c r="O72" s="7" t="str">
        <x:v>B01_DEEP_COLD_SEDIMENT_EVIDENCE</x:v>
      </x:c>
      <x:c r="P72" s="11" t="str">
        <x:v>MEDIUM</x:v>
      </x:c>
      <x:c r="Q72" s="7" t="str">
        <x:v>Deep-sea cold-water coral Lophelia pertusa (biogenic reef habitat).</x:v>
      </x:c>
      <x:c r="R72" s="7" t="str">
        <x:v>Sedimentation and turbidity explicitly included in a conceptual model, also referencing water flow, mechanical disturbance, oil &amp; gas extraction, and dredging &amp; trawling effort.</x:v>
      </x:c>
      <x:c r="S72" s="7" t="str">
        <x:v>Conceptual model linking sediment-related variables to Lophelia pertusa reef condition, including plankton biomass, larval recruitment, and broader ecosystem structure; provides assessment evidence for potential sediment effects.</x:v>
      </x:c>
      <x:c r="T72" s="7" t="str">
        <x:v>B01: Deep/cold source (Lophelia pertusa) with explicit sediment/turbidity pathway and biological/ecological evidence via a conceptual model.</x:v>
      </x:c>
      <x:c r="U72" s="7" t="str">
        <x:v>The record is a CORDIS project report that includes a conceptual model for the deep-sea cold-water coral Lophelia pertusa. The snippet explicitly names Sedimentation and Turbidity as stressors, alongside recruitment and plankton biomass as biological/ecological variables. This meets Tier B B01: a deep-sea coral source with an explicit sediment pathway and associated biological/ecological evidence, even though the evidence is presented as a conceptual model rather than direct measurements. The report is likely a substantive document, not a discovery page. Closest alternative would be B02 (review/assessment), but the presence of explicit sediment pathway and ecological response data aligns more directly with B01. Excluded options are not applicable as there is clear coral-sediment content.</x:v>
      </x:c>
      <x:c r="V72" s="7" t="str">
        <x:v>ALL_VERIFIED_NON_TROPICAL_TIER_B_INCLUSIONS</x:v>
      </x:c>
      <x:c r="W72" s="7" t="str">
        <x:v>TBV1-0549</x:v>
      </x:c>
    </x:row>
    <x:row r="73" ht="42" customHeight="1">
      <x:c r="A73" s="14" t="str">
        <x:v>B</x:v>
      </x:c>
      <x:c r="B73" s="7" t="str">
        <x:v>CWC-6D47AFD7FA50</x:v>
      </x:c>
      <x:c r="C73" s="7" t="str">
        <x:v>Exploring time series of hyperspectral images for cold water coral stress response analysis</x:v>
      </x:c>
      <x:c r="D73" s="7" t="str">
        <x:v>Langenkämper, D | Mogstad, AA | Hansen, IM | Baussant, T | Bergsagel, O | Nilssen, I | Frost, TK | Nattkemper, TW</x:v>
      </x:c>
      <x:c r="E73" s="11" t="str">
        <x:v>2022</x:v>
      </x:c>
      <x:c r="F73" s="7" t="str">
        <x:v>PLOS ONE</x:v>
      </x:c>
      <x:c r="G73" s="7" t="str">
        <x:v>JOUR</x:v>
      </x:c>
      <x:c r="H73" s="7" t="str">
        <x:v>10.1371/journal.pone.0272408</x:v>
      </x:c>
      <x:c r="I73" s="7" t="str">
        <x:v>https://doi.org/10.1371/journal.pone.0272408</x:v>
      </x:c>
      <x:c r="J73" s="7" t="str">
        <x:v>Hyperspectral imaging (HSI) is a promising technology for environmental monitoring with a lot of undeveloped potential due to the high dimensionality and complexity of the data. If temporal effects are studied, such as in a monitoring context, the analysis becomes more challenging as time is added to the dimensions of space (image coordinates) and wavelengths. We conducted a series of laboratory experiments to investigate the impact of different stressor exposure patterns on the spectrum of the cold water coral Desmophyllum pertusum. 65 coral samples were divided into 12 groups, each group being exposed to different types and levels of particles. Hyperspectral images of the coral samples were collected at four time points from prior to exposure to 6 weeks after exposure. To investigate the relationships between the corals' spectral signatures and controlled experimental parameters, a new software tool for interactive visual exploration was developed and applied, the HypIX (Hyperspectral Image eXplorer) web tool. HypIX combines principles from exploratory data analysis, information visualization and machine learning-based dimension reduction. This combination enables users to select regions of interest (ROI) in all dimensions (2D space, time point and spectrum) for a flexible integrated inspection. We propose two HypIX workflows to find relationships in time series of hyperspectral datasets, namely morphology-based filtering workflow and embedded driven response analysis workflow. With these HypIX workflows three users identified different temporal and spatial patterns in the spectrum of corals exposed to different particle stressor conditions. Corals exposed to particles tended to have a larger change rate than control corals, which was evident as a shifted spectrum. The responses, however, were not uniform for coral samples undergoing the same exposure treatments, indicating individual tolerance levels. We also observed a good inter-observer agreement between the three HyPIX users, indicating that the proposed workflow can be applied to obtain reproducible HSI analysis results.</x:v>
      </x:c>
      <x:c r="K73" s="11" t="str">
        <x:v>NO</x:v>
      </x:c>
      <x:c r="L73" s="7" t="str">
        <x:v>NOT_CONFIRMED</x:v>
      </x:c>
      <x:c r="M73" s="7" t="str"/>
      <x:c r="N73" s="7" t="str">
        <x:v>VERIFIED_DOI_DOCUMENT</x:v>
      </x:c>
      <x:c r="O73" s="7" t="str">
        <x:v>B01_DEEP_COLD_SEDIMENT_EVIDENCE</x:v>
      </x:c>
      <x:c r="P73" s="11" t="str">
        <x:v>HIGH</x:v>
      </x:c>
      <x:c r="Q73" s="7" t="str">
        <x:v>Cold-water coral Desmophyllum pertusum (Lophelia pertusa)</x:v>
      </x:c>
      <x:c r="R73" s="7" t="str">
        <x:v>Laboratory exposure to different types and levels of particles (sediment-related stressor)</x:v>
      </x:c>
      <x:c r="S73" s="7" t="str">
        <x:v>Hyperspectral signatures showed larger change rate in particle-exposed corals compared to controls, indicating stress response; non-uniform responses suggest individual tolerance levels</x:v>
      </x:c>
      <x:c r="T73" s="7" t="str">
        <x:v>B01_DEEP_COLD_SEDIMENT_EVIDENCE: Direct experimental evidence of sediment/particle exposure on a cold-water coral with a biological stress response</x:v>
      </x:c>
      <x:c r="U73" s="7" t="str">
        <x:v>This is a substantive journal article reporting controlled laboratory experiments exposing the cold-water coral Desmophyllum pertusum to different particle stressors and measuring hyperspectral changes over time. The coral is a deep-sea cold-water species, the stressor is explicitly sediment/particle exposure, and the response is a spectrally detected stress response with individual variation. This meets the Tier B B01 pathway for deep/cold sediment evidence. It is preferable to B03 because the organism is deep-sea cold-water coral rather than a non-tropical shallower species. CHAIN_ONLY is not chosen because the coral and sediment pathway are central. Excluded because the evidence is direct and substantive.</x:v>
      </x:c>
      <x:c r="V73" s="7" t="str">
        <x:v>ALL_VERIFIED_NON_TROPICAL_TIER_B_INCLUSIONS</x:v>
      </x:c>
      <x:c r="W73" s="7" t="str">
        <x:v>TBV1-0186</x:v>
      </x:c>
    </x:row>
    <x:row r="74" ht="42" customHeight="1">
      <x:c r="A74" s="14" t="str">
        <x:v>B</x:v>
      </x:c>
      <x:c r="B74" s="7" t="str">
        <x:v>CWC-E68FDE82882F</x:v>
      </x:c>
      <x:c r="C74" s="7" t="str">
        <x:v>First in-situ monitoring of sponge response and recovery to an industrial sedimentation event</x:v>
      </x:c>
      <x:c r="D74" s="7" t="str">
        <x:v>Jennifer M. Durden | Michael Clare | Johanne Vad | Andrew R. Gates</x:v>
      </x:c>
      <x:c r="E74" s="11" t="str">
        <x:v>2023</x:v>
      </x:c>
      <x:c r="F74" s="7" t="str">
        <x:v>Marine Pollution Bulletin</x:v>
      </x:c>
      <x:c r="G74" s="7" t="str">
        <x:v>article</x:v>
      </x:c>
      <x:c r="H74" s="7" t="str">
        <x:v>10.1016/j.marpolbul.2023.114870</x:v>
      </x:c>
      <x:c r="I74" s="7" t="str">
        <x:v>https://doi.org/10.1016/j.marpolbul.2023.114870</x:v>
      </x:c>
      <x:c r="J74" s="7" t="str">
        <x:v>Assessment of risks to seabed habitats from industrial activities is based on the resilience and potential for recovery. Increased sedimentation, a key impact of many offshore industries, results in burial and smothering of benthic organisms. Sponges are particularly vulnerable to increases in suspended and deposited sediment, but response and recovery have not been observed in-situ. We quantified the impact of sedimentation from offshore hydrocarbon drilling over ∼5 days on a lamellate demosponge, and its recovery in-situ over ∼40 days using hourly time-lapse photographs with measurements of backscatter (a proxy of suspended sediment) and current speed. Sediment accumulated on the sponge then cleared largely gradually but occasionally sharply, though it did not return to the initial state. This partial recovery likely involved a combination of active and passive removal. We discuss the use of in-situ observing, which is critical to monitoring impacts in remote habitats, and need for calibration to laboratory conditions.</x:v>
      </x:c>
      <x:c r="K74" s="11" t="str">
        <x:v>YES</x:v>
      </x:c>
      <x:c r="L74" s="7" t="str">
        <x:v>FROZEN_PUBLIC_FULL_TEXT_LOCATION</x:v>
      </x:c>
      <x:c r="M74" s="7" t="str">
        <x:v>https://ars.els-cdn.com/content/image/1-s2.0-S0025326X23003016-ga1_lrg.jpg</x:v>
      </x:c>
      <x:c r="N74" s="7" t="str">
        <x:v>VERIFIED_DOI_DOCUMENT</x:v>
      </x:c>
      <x:c r="O74" s="7" t="str">
        <x:v>B01_DEEP_COLD_SEDIMENT_EVIDENCE</x:v>
      </x:c>
      <x:c r="P74" s="11" t="str">
        <x:v>HIGH</x:v>
      </x:c>
      <x:c r="Q74" s="7" t="str">
        <x:v>A lamellate demosponge (likely deep-sea/cold-water sponge) in a marine benthic habitat affected by offshore drilling.</x:v>
      </x:c>
      <x:c r="R74" s="7" t="str">
        <x:v>Increased sedimentation from offshore hydrocarbon drilling over ~5 days, leading to sediment accumulation, burial, and smothering.</x:v>
      </x:c>
      <x:c r="S74" s="7" t="str">
        <x:v>Quantified sediment accumulation on the sponge, gradual and sharp clearance over ~40 days, and partial recovery from initial state; discusses in-situ monitoring and calibration to lab conditions.</x:v>
      </x:c>
      <x:c r="T74" s="7" t="str">
        <x:v>Direct in-situ evidence of sponge response and recovery to an industrial sedimentation event, meeting B01 for deep/cold sediment evidence.</x:v>
      </x:c>
      <x:c r="U74" s="7" t="str">
        <x:v>The abstract explicitly documents sponge exposure to sedimentation from offshore drilling and reports biological responses (accumulation, clearance, partial recovery). The organism is a sponge in a deep/cold context, and the stressor is sediment deposition/smothering. This is directly relevant to Tier B pathway B01 (deep/cold sediment evidence) and also aligns with B03 as a non-tropical direct mechanism, but B01 is more specific. The study provides monitoring and impact evidence, making it a substantive document eligible for inclusion.</x:v>
      </x:c>
      <x:c r="V74" s="7" t="str">
        <x:v>ALL_VERIFIED_CENTRAL_PEER_REVIEWED</x:v>
      </x:c>
      <x:c r="W74" s="7" t="str">
        <x:v>TBV1-0163</x:v>
      </x:c>
    </x:row>
    <x:row r="75" ht="42" customHeight="1">
      <x:c r="A75" s="14" t="str">
        <x:v>B</x:v>
      </x:c>
      <x:c r="B75" s="7" t="str">
        <x:v>CWC-1734E5F756EF</x:v>
      </x:c>
      <x:c r="C75" s="7" t="str">
        <x:v>First Macro-Colonizers and Survivors Around Tagoro Submarine Volcano, Canary Islands, Spain</x:v>
      </x:c>
      <x:c r="D75" s="7" t="str">
        <x:v>Ana Sotomayor‐García | José L. Rueda | Olga Sánchez-Guillamón | Javier Urra | J.T. Vázquez | Desirée Palomino | L.M. Fernández-Salas | N. López-González | M. González-Porto | J. Magdalena Santana‐Casiano | Melchor González‐Dávila | Carmen Presas˗Navarro | E. Fraile‐Nuez</x:v>
      </x:c>
      <x:c r="E75" s="11" t="str">
        <x:v>2019</x:v>
      </x:c>
      <x:c r="F75" s="7" t="str">
        <x:v>Geosciences</x:v>
      </x:c>
      <x:c r="G75" s="7" t="str">
        <x:v>article</x:v>
      </x:c>
      <x:c r="H75" s="7" t="str">
        <x:v>10.3390/geosciences9010052</x:v>
      </x:c>
      <x:c r="I75" s="7" t="str">
        <x:v>https://doi.org/10.3390/geosciences9010052</x:v>
      </x:c>
      <x:c r="J75" s="7" t="str">
        <x:v>Tagoro, the youngest submarine volcano of the Canary Islands, erupted in 2011 South of El Hierro Island. Pre-existing sea floor and inhabiting biological communities were buried by the newly erupted material, promoting the appearance of new habitats. The present study pursues to describe the first metazoans colonizing different new habitats formed during the eruption and to create precedent on this field. Through dredge and remote operated vehicle samplings, five main habitat types have been detected based on the substrate type and burial status after the eruption. Inside the Tagoro volcanic complex (TVC), two new habitats are located in and around the summit and main craters—hydrothermal vents with bacterial mats and sulfurous-like fields mainly colonized by small hydrozoan colonies. Two other habitats are located downslope the TVC; new hard substrate and new mixed substrate, holding the highest biodiversity of the TVC, especially at the mixed bottoms with annelids (Chloeia cf. venusta), arthropods (Monodaeus couchii and Alpheus sp.), cnidarians (Sertularella cf. tenella), and molluscs (Neopycnodonte cochlear) as the first colonizers. An impact evaluation was done comparing the communities of those habitats with the complex and well-established community described at the stable hard substrate outside the TVC, which is constituted of highly abundant hydrozoans (Aglaophenia sp.), antipatharians (Stichopates setacea and Antipathes furcata), and colonizing epibionts (e.g., Neopycnodonte cochlear). Three years after the eruption, species numbers at Tagoro were still low compared to those occurring at similar depths outside the TVC. The first dominant species at the TVC included a large proportion of common suspension feeders of the circalittoral and bathyal hard bottoms of the area, which could have exploited the uncolonized hard bottoms and the post eruptive fertilization of water masses.</x:v>
      </x:c>
      <x:c r="K75" s="11" t="str">
        <x:v>YES</x:v>
      </x:c>
      <x:c r="L75" s="7" t="str">
        <x:v>FROZEN_PUBLIC_FULL_TEXT_LOCATION</x:v>
      </x:c>
      <x:c r="M75" s="7" t="str">
        <x:v>https://www.mdpi.com/2076-3263/9/1/52/pdf?version=1547886104</x:v>
      </x:c>
      <x:c r="N75" s="7" t="str">
        <x:v>VERIFIED_DOI_DOCUMENT</x:v>
      </x:c>
      <x:c r="O75" s="7" t="str">
        <x:v>B01_DEEP_COLD_SEDIMENT_EVIDENCE</x:v>
      </x:c>
      <x:c r="P75" s="11" t="str">
        <x:v>HIGH</x:v>
      </x:c>
      <x:c r="Q75" s="7" t="str">
        <x:v>Deep-sea/cold-water cnidarians, including antipatharian corals (Stichopates setacea, Antipathes furcata) and hydrozoans, as well as other benthic invertebrates.</x:v>
      </x:c>
      <x:c r="R75" s="7" t="str">
        <x:v>Burial and habitat alteration caused by newly erupted volcanic material from the Tagoro submarine volcano; sediment/deposition pathway affecting the seafloor.</x:v>
      </x:c>
      <x:c r="S75" s="7" t="str">
        <x:v>Impact evaluation comparing colonizer communities inside the volcanic complex with stable hard substrate outside; reports changes in species numbers, community composition, and colonization patterns.</x:v>
      </x:c>
      <x:c r="T75" s="7" t="str">
        <x:v>Deep-sea coral-bearing communities were buried by erupted material, and the study provides biological/ecological impact evidence by comparing pre- and post-eruption communities and colonization.</x:v>
      </x:c>
      <x:c r="U75" s="7" t="str">
        <x:v>This article documents the burial of pre-existing seafloor communities by newly erupted volcanic material at Tagoro submarine volcano, a clear sediment/deposition pathway. Organism evidence includes deep-sea antipatharian corals and other cnidarians. The study provides impact evaluation through community comparisons and colonization patterns, meeting B01. It is not merely a distributional or geological study. Although volcanic material is not classic sediment, burial/deposition is explicitly relevant. B02 is less appropriate as this is a primary study, not a review/assessment. B03 would require direct experimental testing, which is absent. Thus B01 is the best fit.</x:v>
      </x:c>
      <x:c r="V75" s="7" t="str">
        <x:v>ALL_VERIFIED_CENTRAL_PEER_REVIEWED</x:v>
      </x:c>
      <x:c r="W75" s="7" t="str">
        <x:v>TBV1-0076</x:v>
      </x:c>
    </x:row>
    <x:row r="76" ht="42" customHeight="1">
      <x:c r="A76" s="14" t="str">
        <x:v>B</x:v>
      </x:c>
      <x:c r="B76" s="7" t="str">
        <x:v>CWC-BFA3694F30B3</x:v>
      </x:c>
      <x:c r="C76" s="7" t="str">
        <x:v>Genesis and morphology of cold-water coral ridges in a unidirectional current regime</x:v>
      </x:c>
      <x:c r="D76" s="7" t="str">
        <x:v>Thiago B.S. Correa | Gregor P. Eberli | M. Grasmueck | John K. Reed | Adrienne M. S. Correa</x:v>
      </x:c>
      <x:c r="E76" s="11" t="str">
        <x:v>2012</x:v>
      </x:c>
      <x:c r="F76" s="7" t="str">
        <x:v>Marine Geology</x:v>
      </x:c>
      <x:c r="G76" s="7" t="str">
        <x:v>article</x:v>
      </x:c>
      <x:c r="H76" s="7" t="str">
        <x:v>10.1016/j.margeo.2012.06.008</x:v>
      </x:c>
      <x:c r="I76" s="7" t="str">
        <x:v>https://doi.org/10.1016/j.margeo.2012.06.008</x:v>
      </x:c>
      <x:c r="J76" s="7" t="str">
        <x:v>Cold-water coral ridges with waveform morphology are commonly observed in mound surfaces in the Northeast Atlantic Ocean and interpreted as sediment waves overgrown by corals. This work documents the first cold-water coral ridges that are waveform but lack sand dune cores. These coral ridges are situated at the base of the Miami Terrace in the Straits of Florida (depths of 630 to 870 m). They are entirely biogenic in origin and are unrelated to antecedent topography. Five lines of evidence, based on 27 km(2) of high-resolution geophysical, oceanographic, and ground-truthing data, support this interpretation. First, the waveform coral ridges are aligned perpendicular to a southward flowing bottom current and juxtaposed to an active sand dune field devoid of corals. Both the coral ridges and sand dunes are asymmetric in profile with respect to the current. However, the ridges have their steep sides facing the current, whereas the dunes exhibit a steep leeside. Second, the coral ridge matrix consists of very fine sand to mud particles with no bedload sand transport on the ridge flanks or troughs. In contrast, active sand ripples superimpose the juxtaposed sand dunes indicating that coarse sand is transported via traction in this domain. Third, bedload sand transport occurs in linear streaks at the shallowest part of the surveyed area. These streaks orthogonally crosscut some coral ridges, but coral colonies are not aligned along these streaks. Instead, the bedload sand smothers the coral colonies and thereby segments the ridges. Fourth, the sand dune and coral ridge acoustic responses are different. Below the dunes, there is no sub-bottom reflection due to energy attenuation. In contrast, a continuous reflection below the coral ridges proves the absence of attenuating sand cores. Fifth, this continuous sub-bottom reflection is not correlated with the coral ridge topography, indicating that antecedent topography does not control the waveform morphology and spatial distribution of the ridges. The differences in depositional profiles, sediment dynamics and features, as well as acoustic facies between the coral ridges and the juxtaposed dunes show that the coral ridges are entirely bioconstnictional and not a veneer of corals covering paleo-sand dunes. This field of biogenic ridges at the Miami Terrace and the distribution of sand streaks as well as active sand dunes provide new insights how the lateral variability of current velocities and sediment transport conditions control the morphology, distribution and genesis of cold-water coral features. (C) 2012 Elsevier B.V. All rights reserved.</x:v>
      </x:c>
      <x:c r="K76" s="11" t="str">
        <x:v>NO</x:v>
      </x:c>
      <x:c r="L76" s="7" t="str">
        <x:v>NOT_CONFIRMED</x:v>
      </x:c>
      <x:c r="M76" s="7" t="str"/>
      <x:c r="N76" s="7" t="str">
        <x:v>VERIFIED_DOI_DOCUMENT</x:v>
      </x:c>
      <x:c r="O76" s="7" t="str">
        <x:v>B01_DEEP_COLD_SEDIMENT_EVIDENCE</x:v>
      </x:c>
      <x:c r="P76" s="11" t="str">
        <x:v>HIGH</x:v>
      </x:c>
      <x:c r="Q76" s="7" t="str">
        <x:v>Cold-water corals (species not specified) forming biogenic ridges at 630-870 m depth in the Straits of Florida.</x:v>
      </x:c>
      <x:c r="R76" s="7" t="str">
        <x:v>Bedload sand transport, sand smothering, sediment dynamics under a unidirectional bottom current; sediment particles include very fine sand to mud.</x:v>
      </x:c>
      <x:c r="S76" s="7" t="str">
        <x:v>Bedload sand smothers coral colonies and segments ridges; coral ridges are entirely biogenic and their morphology and distribution are controlled by sediment transport conditions.</x:v>
      </x:c>
      <x:c r="T76" s="7" t="str">
        <x:v>B01: deep-sea cold-water coral study with explicit sediment pathway (smothering by bedload sand) and biological/ecological impact on coral colonies and ridge morphology.</x:v>
      </x:c>
      <x:c r="U76" s="7" t="str">
        <x:v>This article directly examines cold-water coral ridges in a deep-sea setting and demonstrates how sediment transport (active sand dunes and bedload streaks) smothers coral colonies and segments ridge morphology. The sediment pathway is explicit and the response includes both colony smothering and larger-scale geomorphic effects, meeting B01's requirement for biological, ecological, or impact evidence. The study is not purely geological because it links sediment dynamics to coral colony condition and ridge genesis. The closest alternative is exclusion as physical sediment transport, but the clear organism-level smothering evidence makes inclusion appropriate.</x:v>
      </x:c>
      <x:c r="V76" s="7" t="str">
        <x:v>ALL_VERIFIED_CENTRAL_PEER_REVIEWED</x:v>
      </x:c>
      <x:c r="W76" s="7" t="str">
        <x:v>TBV1-0101</x:v>
      </x:c>
    </x:row>
    <x:row r="77" ht="42" customHeight="1">
      <x:c r="A77" s="14" t="str">
        <x:v>B</x:v>
      </x:c>
      <x:c r="B77" s="7" t="str">
        <x:v>GLV4-845AF3F92AC3</x:v>
      </x:c>
      <x:c r="C77" s="7" t="str">
        <x:v>Gulf of Mexico OCS Oil and Gas Lease Sales: 2017-2022</x:v>
      </x:c>
      <x:c r="D77" s="7" t="str"/>
      <x:c r="E77" s="11" t="str">
        <x:v>2017</x:v>
      </x:c>
      <x:c r="F77" s="7" t="str">
        <x:v>boem.gov</x:v>
      </x:c>
      <x:c r="G77" s="7" t="str">
        <x:v>report</x:v>
      </x:c>
      <x:c r="H77" s="7" t="str"/>
      <x:c r="I77" s="7" t="str">
        <x:v>https://www.boem.gov/sites/default/files/environmental-stewardship/Environmental-Assessment/NEPA/BOEM-EIS-2017-009-v2.pdf</x:v>
      </x:c>
      <x:c r="J77" s="7" t="str">
        <x:v>was the creation of an environmental priority index that rates the sensitivity of the various topographic features (Rezak and Bright, 1981a). In order of decreasing sensitivity, the following classification was used: (1) Shelf-edge, carbonate banks possessing clear-water coral reefs and Algal-Sponge Zones, transitional assemblages approximating the Antipatharian Zone and Nepheloid Zone (surrounding depths of 276-656 ft [84-200 m], crests 49-246 ft [15-75 m]). Description of the Affected Environment and Impact Analysis 4-171 (2) Midshelf, Tertiary-outcrop banks bearing clear-water, Millepora-Sp</x:v>
      </x:c>
      <x:c r="K77" s="11" t="str">
        <x:v>YES</x:v>
      </x:c>
      <x:c r="L77" s="7" t="str">
        <x:v>PUBLIC_FULL_DOCUMENT_LOCATION</x:v>
      </x:c>
      <x:c r="M77" s="7" t="str">
        <x:v>https://www.boem.gov/sites/default/files/environmental-stewardship/Environmental-Assessment/NEPA/BOEM-EIS-2017-009-v2.pdf</x:v>
      </x:c>
      <x:c r="N77" s="7" t="str">
        <x:v>VERIFIED_DIRECT_DOCUMENT_URL</x:v>
      </x:c>
      <x:c r="O77" s="7" t="str">
        <x:v>B02_DEEP_COLD_REVIEW_ASSESSMENT</x:v>
      </x:c>
      <x:c r="P77" s="11" t="str">
        <x:v>MEDIUM</x:v>
      </x:c>
      <x:c r="Q77" s="7" t="str">
        <x:v>Deep-sea/cold-water corals and sponges, including coral reefs, Algal-Sponge Zones, Antipatharian Zone, and Nepheloid Zone communities, are referenced as sensitive topographic features in the Gulf of Mexico.</x:v>
      </x:c>
      <x:c r="R77" s="7" t="str">
        <x:v>Oil and gas lease sales and associated OCS activities may involve sediment disturbance, turbidity, drilling, and deposition pathways; the Nepheloid Zone explicitly indicates turbid bottom-water conditions.</x:v>
      </x:c>
      <x:c r="S77" s="7" t="str">
        <x:v>The document is a regulatory impact assessment that rates environmental sensitivity of coral and sponge habitats, providing a basis for evaluating effects, exposure, and mitigation.</x:v>
      </x:c>
      <x:c r="T77" s="7" t="str">
        <x:v>Substantive government environmental assessment with a direct focus on potential impacts to deep-sea corals and sponges from OCS oil and gas activities, including sediment-related pathways, relevant for effects and mitigation.</x:v>
      </x:c>
      <x:c r="U77" s="7" t="str">
        <x:v>This BOEM environmental assessment for Gulf of Mexico OCS oil and gas lease sales is a substantive regulatory document addressing environmental impacts on sensitive coral and sponge habitats. The snippet explicitly references an environmental priority index ranking shelf-edge carbonate banks with coral reefs and sponge zones, plus the Nepheloid Zone, an indicator of turbidity/sediment processes. This qualifies as a deep/cold-water coral or sponge regulatory assessment with sediment-related impact potential under B02. Although the snippet is limited, the document type and issuer strongly indicate a comprehensive assessment. Chosen over CHAIN_ONLY because it is an assessment document with direct content, not merely a reference source. Not excluded because it meets the broader Tier B review/assessment criteria, and access status does not affect eligibility.</x:v>
      </x:c>
      <x:c r="V77" s="7" t="str">
        <x:v>ALL_VERIFIED_NON_TROPICAL_TIER_B_INCLUSIONS</x:v>
      </x:c>
      <x:c r="W77" s="7" t="str">
        <x:v>TBV1-0743</x:v>
      </x:c>
    </x:row>
    <x:row r="78" ht="42" customHeight="1">
      <x:c r="A78" s="14" t="str">
        <x:v>B</x:v>
      </x:c>
      <x:c r="B78" s="7" t="str">
        <x:v>CWC-7ADF72F6B985</x:v>
      </x:c>
      <x:c r="C78" s="7" t="str">
        <x:v>Happy relationships between marine sponges and sediments – a review and some observations from Australia</x:v>
      </x:c>
      <x:c r="D78" s="7" t="str">
        <x:v>Christine H L Schönberg</x:v>
      </x:c>
      <x:c r="E78" s="11" t="str">
        <x:v>2015</x:v>
      </x:c>
      <x:c r="F78" s="7" t="str">
        <x:v>Journal of the Marine Biological Association of the United Kingdom</x:v>
      </x:c>
      <x:c r="G78" s="7" t="str">
        <x:v>article</x:v>
      </x:c>
      <x:c r="H78" s="7" t="str">
        <x:v>10.1017/s0025315415001411</x:v>
      </x:c>
      <x:c r="I78" s="7" t="str">
        <x:v>https://doi.org/10.1017/s0025315415001411</x:v>
      </x:c>
      <x:c r="J78" s="7" t="str">
        <x:v>Being sessile filter feeders, sponges may be disadvantaged by sediments in many ways, e.g. through clogging and burial. However, in order to correctly recognize negative effects of sediments in the field, natural relationships of sponge taxa adapted to a life with sediments need to be understood. The present publication reviews available literature and provides observations on natural and beneficial interactions of sponges with sediments, distinguishing several strategies: (1) Saving energy through sediment incorporation, reducing or replacing spicule production commonly occurs in keratose, verongimorph, tethyid and poecilosclerid sponges, which often received scientific names referring to sediments. (2) Forming sediment crusts externally or embedded in surface tissues reinforces outer layers, provides shade, and for external crusts camouflage and shelter from spongivory and desiccation. External crusts often occur in the tethyids and axinellids, while surface armour is most common in keratose sponges. (3) Anchoring in soft sediments provides a selective advantage for space colonization. This is mainly achieved in the hexactinellid, polymastiid and spirophorine sponges by using spicules (predominantly in deeper water), commonly in endopsammic sponges by rootlets, basal agglutination and basal incorporation of particles, and in various groups by attachment to buried materials (shallow water). (4) Living at least partially embedded in sediments (psammobiosis) appears to be best developed in Oceanapia spp. and bioeroding sponges, generates shelter from various external conditions and reduces the risk of spongivory. Typical morphological characters of sediment-adapted sponges are thus sediment skeletons and surface crusts (reinforcement), stalks and fistules (elevation above sediments), spicule tufts and root-systems (anchoring).</x:v>
      </x:c>
      <x:c r="K78" s="11" t="str">
        <x:v>YES</x:v>
      </x:c>
      <x:c r="L78" s="7" t="str">
        <x:v>FROZEN_PUBLIC_FULL_TEXT_LOCATION</x:v>
      </x:c>
      <x:c r="M78" s="7" t="str">
        <x:v>https://www.cambridge.org/core/services/aop-cambridge-core/content/view/A8E927A56D5F7C0D16D6BF1B9DC4AE50/S0025315415001411a.pdf/div-class-title-happy-relationships-between-marine-sponges-and-sediments-a-review-and-some-observations-from-australia-div.pdf</x:v>
      </x:c>
      <x:c r="N78" s="7" t="str">
        <x:v>VERIFIED_DOI_DOCUMENT</x:v>
      </x:c>
      <x:c r="O78" s="7" t="str">
        <x:v>B05_BROAD_SYNTHESIS_WITH_TARGET_EVIDENCE</x:v>
      </x:c>
      <x:c r="P78" s="11" t="str">
        <x:v>HIGH</x:v>
      </x:c>
      <x:c r="Q78" s="7" t="str">
        <x:v>Sponges, including keratose, verongimorph, tethyid, poecilosclerid, hexactinellid, polymastiid, spirophorine, and bioeroding taxa.</x:v>
      </x:c>
      <x:c r="R78" s="7" t="str">
        <x:v>Sediments, including clogging, burial, sediment incorporation, surface crusts, anchoring in soft sediments, and psammobiosis.</x:v>
      </x:c>
      <x:c r="S78" s="7" t="str">
        <x:v>Review of natural and beneficial sponge-sediment interactions, also noting negative effects; synthesizes strategies such as sediment incorporation, crust formation, anchoring, and partial burial.</x:v>
      </x:c>
      <x:c r="T78" s="7" t="str">
        <x:v>B05_BROAD_SYNTHESIS_WITH_TARGET_EVIDENCE: A broad synthesis/assessment on sponge-sediment relationships that reports sponge-specific evidence relevant to sediment effects and adaptation.</x:v>
      </x:c>
      <x:c r="U78" s="7" t="str">
        <x:v>This is a substantive peer-reviewed review article focused explicitly on marine sponges and sediments. It covers both negative effects (clogging, burial) and natural beneficial interactions, providing sponge-specific evidence on sediment exposure and adaptive responses. The document is a synthesis/review, which fits B05 as a broad sediment-effects synthesis with target evidence on sponges. It does not require deep/cold focus (so not B02). It is not a tropical direct study (B04) nor a non-tropical direct mechanism study (B03). The inclusion is warranted because it directly addresses sediment effects on sponges and informs understanding of exposure, adaptation, and potential impacts.</x:v>
      </x:c>
      <x:c r="V78" s="7" t="str">
        <x:v>ALL_VERIFIED_NON_TROPICAL_TIER_B_INCLUSIONS</x:v>
      </x:c>
      <x:c r="W78" s="7" t="str">
        <x:v>TBV1-1446</x:v>
      </x:c>
    </x:row>
    <x:row r="79" ht="42" customHeight="1">
      <x:c r="A79" s="14" t="str">
        <x:v>B</x:v>
      </x:c>
      <x:c r="B79" s="7" t="str">
        <x:v>CWC-B62F6351100D</x:v>
      </x:c>
      <x:c r="C79" s="7" t="str">
        <x:v>Harmful routines? Uncertainty in science and conflicting views on routine petroleum operations in Norway</x:v>
      </x:c>
      <x:c r="D79" s="7" t="str">
        <x:v>Anne Blanchard | Kjellrun Hiis Hauge | Gisle Andersen | Jan Helge Fosså | Bjørn Einar Grøsvik | Nils Olav Handegard | Matthias Kaiser | Sonnich Meier | Erik Olsen | Frode B. Vikebø</x:v>
      </x:c>
      <x:c r="E79" s="11" t="str">
        <x:v>2013</x:v>
      </x:c>
      <x:c r="F79" s="7" t="str">
        <x:v>Marine Policy</x:v>
      </x:c>
      <x:c r="G79" s="7" t="str">
        <x:v>article</x:v>
      </x:c>
      <x:c r="H79" s="7" t="str">
        <x:v>10.1016/j.marpol.2013.07.001</x:v>
      </x:c>
      <x:c r="I79" s="7" t="str">
        <x:v>https://doi.org/10.1016/j.marpol.2013.07.001</x:v>
      </x:c>
      <x:c r="J79" s="7" t="str">
        <x:v>Offshore petroleum activities are the focus of highly politicised debates globally. Typically, public debate is sparked by catastrophic events, such as the 2010 oil spill in the Gulf of Mexico, and decision-making processes fuelled by the assessment of 'worst-case scenarios'. However, everyday 'routine' petroleum operations also impact the marine ecosystems and adjoining socio-economic sectors, but the extent and severity of the impacts are uncertain. This paper takes as its point of departure routine operations and their surrounding uncertainties. Particularly, it focuses on the debates of whether to extend routine petroleum operations in vulnerable and valuable parts of Norway, such as the Lofoten area and the Sula Ridge. These conflicts draw on important and for some, epistemological uncertainties that surround the impacts of routine operations. The paper argues that it is necessary to first highlight these uncertainties, rather than marginalise them, and second, recognise that uncertainties are not simply a scientific challenge, but can be a powerful political tool. This paper unpacks and explores uncertainties associated with three phases of routine operations, that are used to steer political actions: (i) the impacts of seismic surveys on fish and marine mammals; (ii) the impacts of drilling mud and drill cuttings on benthic communities such as deep-sea coral reefs; and (iii) the impacts of produced water on the marine environment. The paper discusses the importance of transparency in addressing these uncertainties, and emphasises the need to implement the precautionary principle in a more participatory way. It thus proposes participatory exercises in order to allow the recognition of the epistemological nature of uncertainties. (C) 2013 Elsevier Ltd. All rights reserved.</x:v>
      </x:c>
      <x:c r="K79" s="11" t="str">
        <x:v>NO</x:v>
      </x:c>
      <x:c r="L79" s="7" t="str">
        <x:v>NOT_CONFIRMED</x:v>
      </x:c>
      <x:c r="M79" s="7" t="str"/>
      <x:c r="N79" s="7" t="str">
        <x:v>VERIFIED_DOI_DOCUMENT</x:v>
      </x:c>
      <x:c r="O79" s="7" t="str">
        <x:v>B02_DEEP_COLD_REVIEW_ASSESSMENT</x:v>
      </x:c>
      <x:c r="P79" s="11" t="str">
        <x:v>HIGH</x:v>
      </x:c>
      <x:c r="Q79" s="7" t="str">
        <x:v>Deep-sea coral reefs and benthic communities in Norwegian waters, including the Sula Ridge area.</x:v>
      </x:c>
      <x:c r="R79" s="7" t="str">
        <x:v>Drilling mud and drill cuttings from routine petroleum operations, a sediment/deposition pathway.</x:v>
      </x:c>
      <x:c r="S79" s="7" t="str">
        <x:v>Assesses uncertainties in the impacts of routine operations on benthic communities, informing precautionary approaches and policy decisions.</x:v>
      </x:c>
      <x:c r="T79" s="7" t="str">
        <x:v>The article is a substantive policy assessment focusing on the impacts of drilling mud and drill cuttings on deep-sea coral reefs, meeting the B02 criterion for a deep/cold review or assessment with direct sediment-impact relevance.</x:v>
      </x:c>
      <x:c r="U79" s="7" t="str">
        <x:v>This Marine Policy article directly addresses the impacts of routine petroleum operations, specifically drilling mud and drill cuttings, on deep-sea coral reefs. It synthesizes and assesses uncertainties regarding these sediment-related impacts in Norwegian waters, including the Sula Ridge and Lofoten areas. This qualifies as a substantive deep/cold review or assessment under B02 because it provides a policy-relevant evaluation of sediment exposure and potential ecological consequences, despite not presenting new experimental data. The closest alternative would be B05 if it were a broader synthesis, but the focus is clearly on deep-sea corals and drilling-related sediment, making B02 more specific. Exclusions do not apply; the organism is explicit, the sediment pathway is central, and the response/assessment value is the uncertainty analysis that informs effects and mitigation.</x:v>
      </x:c>
      <x:c r="V79" s="7" t="str">
        <x:v>ALL_VERIFIED_CENTRAL_PEER_REVIEWED</x:v>
      </x:c>
      <x:c r="W79" s="7" t="str">
        <x:v>TBV1-0119</x:v>
      </x:c>
    </x:row>
    <x:row r="80" ht="42" customHeight="1">
      <x:c r="A80" s="14" t="str">
        <x:v>B</x:v>
      </x:c>
      <x:c r="B80" s="7" t="str">
        <x:v>CWC-73DA8E953BEA</x:v>
      </x:c>
      <x:c r="C80" s="7" t="str">
        <x:v>Impact of diagenesis on carbonate mound formation</x:v>
      </x:c>
      <x:c r="D80" s="7" t="str">
        <x:v>Cees van der Land</x:v>
      </x:c>
      <x:c r="E80" s="11" t="str">
        <x:v>2011</x:v>
      </x:c>
      <x:c r="F80" s="7" t="str">
        <x:v>Flanders Marine Institute (Flanders Marine Institute)</x:v>
      </x:c>
      <x:c r="G80" s="7" t="str">
        <x:v>dissertation</x:v>
      </x:c>
      <x:c r="H80" s="7" t="str"/>
      <x:c r="I80" s="7" t="str">
        <x:v>http://www.vliz.be/imisdocs/publications/84/263484.pdf</x:v>
      </x:c>
      <x:c r="J80" s="7" t="str">
        <x:v>This thesis is devoted to define the parameters influencing cold-water coral growth and therefore carbonate mound development with a focus on the impact of diagenesis on mound sediments. The first part of this thesis (Chapters 2 to 4) discusses the distributionand growth history of carbonate mounds, the sedimentary processes leading to sediment accumulation at mound sites and the primary sediment composition of cold-water coral carbonate mounds along the Irish margin. The second part of the thesis (Chapters 5 to 7) elaborates on the post-depositional processes (diagenesis) affecting mound sediments, the timing of these diagenetic processes and their impact on carbonate mound development.Piston cores obtained from mound summits were studied to determine paleo-environmental conditions influencing mound development. Component analysis, thin section petrography and X-ray fluorescence scanning revealed the impact of diagenesisin the form of dissolution and cementation of the coral framework. U-series dating of coral skeletons and stable isotope measurements on foraminifera provided us with a chrono stratigraphic framework for carbonate mound build-up. Coral ages showed that large hiatuses are present in the mounds, which can be linked to multiple phases of erosion or non-deposition in the mound history.In Chapter 2 the morphology and sedimentology of carbonate mounds from two mound provinces at the southeast and southwest margin of the Rockall Trough (RT)(NE Atlantic Ocean) are investigated. Cold-wat er coral mounds on both margins have a strongly different morphology. Single, isolated mounds occur on the SE RT marginand are mainly found on the upper slope between 650 and 900 m water depth, while large mound clusters are found on the SW RT margin in water depths between 600 and 1000 m, in a narrow zone almost parallel to the slope. Sedimentation rates on themounds are higher than on the surrounding seabed as a result of baffling of biogenic carbonate debris and sediment particles by the coral framework. The three-dimensional coral framework and the presence of extensive hardgrounds and firmgroundsare considered to be responsible for the stability of the relatively steep slopes of the mounds. High current velocities in the intra-mound areas result in local non-sedimentationand erosion, as is shown by the presence of IRD lag deposits on the seabed and moats around some of the mounds. The morphology and sedimentology of cold-water coral (mainly Lophelia pertusa and Madrepora oculata) covered mounds on the southernRT margins is discussed and a model is presented describing the development of these mounds.Chapter 3 focuses on U-series dating of constructional cold-water corals. Dating of the coral skeleton of Lophelia pertusa and Madrepora oculata from mounds along the RT margin and in the Porcupine Seabight reveal that the Holocene (past 11 kyr) wasa period generally favourable for coral mound development. Vertical mound growth rates are directly linked to the presence or absence of a dense coral cover at the mound summits. During times of reduced coral growth or the absence of a coral framework,mound growth rates are by far smaller. Periods favourable for coral growth on the SW RT and in the Porcupine Seabight are related to overall climatic warm phases and coralgrowth is largely reduced or even absent on mounds during cold phases such as glacial periods.Chapter 4 describes the accumulation of mainly carbonate sediment on a mound at the SW RT margin. Photo and video surveys at this station show the presence of living coral colonies on top of a thick layer of coral debris, which becomes slowly abraded andbio-eroded. Component analysis of a piston core from a mound summit shows that the coral framework is mainly filled with sediment composed of phytodetritus and skeletal parts of fauna living at the mounds. The mound sediment record displays analternation of skeletal and cement dominated intervals. Dating of coral skeletons and the oxygen stable isotope signature of planktonic and benthic foraminifera indicate a continuous sedimentation pattern since the Younger Dryas. The older part of the core, with mainly intermediate values of stable isotopes is dominated by the presence of large hiatuses, of up to 200,000 yr. Hiatuses in the core possibly are linked to climatechange, which had a large effect on the ocean circulation patterns, thereby influencing the local hydrodynamic regime, food supply and sedimentation patterns around thecarbonate mounds. This affected coral growth and therefore carbonate mound development.In Chapter 5 piston cores obtained at three mound crests reveal the complex internal structure of the mound build up, with alternating unlithified coral-dominatedintervals and lithified intervals. Coral ages obtained by U-series dating show the presence of several hiatuses in mound build-up. Down core X-ray fluorescence scanning(XRF), computed tomography scan images and petrographic observations indicate different degrees of diagenetic alteration. Aragonitic coral material is absent or onlypresent as mouldic porosity in the lithified intervals and coccoliths display widespread calcite overgrowths. The dissolution of the unstable aragonitic coral skeletons is linkedto organic matter oxidation and the subsequent lowering of the saturation state of the carbonate system. A model is presented describing the sedimentary and diagenetic processes leading to the formation of lithified intervals.Chapter 6 focuses on the enrichment of redox-sensitive elements and the dissolution of primary magnetic ferric iron minerals in the depth interval below lithification levels in carbonate mound sediments. By combining the magnetic susceptibility withthe XRF signal of Fe and Ti specifically, intervals with susceptibility variations related to the conversion of strongly magnetic into weakly magnetic iron species were defined.In all three studied cores a succession is recognised with a lithified interval with aragonite dissolution and low-Mg calcite precipitates that is underlain by an interval of magnetite dissolution and of iron and manganese enrichment. For the most recent lithified interval it is demonstrated that initial lithification occurred before an erosional regime was in place, most likely near the end of an interglacial or at the start ofglacial periods.In Chapter 7 the carbonate mound development and sediment composition of the mounds at the SW RT margin and the Galway Mound in the Porcupine Seabight are compared. Differences in sediment composition between these mound provinces arerelated to the local environmental conditions. Mound accumulation rates at the Galway Mound are higher due to a higher influx of off-mound derived fine grained noncarbonate sediments. At both locations mound growth has been continuous for the last 11 kyr, before this period several hiatuses exist in the mound record. The most recent hiatus can be traced across multiple mounds and mound provinces at the Irish margin. At the SW RT margin these are associated with post-depositional aragonite dissolution in and lithification of certain intervals, while at Galway Mound no lithification occurs. This study shows that the influx and composition of material transported to carbonate mounds have a direct impact on the carbonate mound accumulationrate and on post-depositional processes.Chapter 8 (synthesis) describes and discusses the impact of diagenesis on carbonate mound formation. It is debated whether lithified layers play a crucial role in carbonate mound development/vertical mound growth by providing a stable colonisation surface for cold-water corals and by stabilising the steep mound flanks. The underlying processes leading to post-depositional modifications are discussed, including theirlink to climate cycles. Furthermore, a compilation of coral ages at the Irish margin older than 11 kyr is shown.</x:v>
      </x:c>
      <x:c r="K80" s="11" t="str">
        <x:v>NO</x:v>
      </x:c>
      <x:c r="L80" s="7" t="str">
        <x:v>NOT_CONFIRMED</x:v>
      </x:c>
      <x:c r="M80" s="7" t="str"/>
      <x:c r="N80" s="7" t="str">
        <x:v>VERIFIED_DIRECT_DOCUMENT_URL</x:v>
      </x:c>
      <x:c r="O80" s="7" t="str">
        <x:v>B01_DEEP_COLD_SEDIMENT_EVIDENCE</x:v>
      </x:c>
      <x:c r="P80" s="11" t="str">
        <x:v>HIGH</x:v>
      </x:c>
      <x:c r="Q80" s="7" t="str">
        <x:v>Cold-water corals Lophelia pertusa and Madrepora oculata, and carbonate mound ecosystems along the Irish Atlantic margin (Rockall Trough, Porcupine Seabight).</x:v>
      </x:c>
      <x:c r="R80" s="7" t="str">
        <x:v>Explicit sediment-related pathways: sediment accumulation, deposition, erosion, non-deposition, diagenesis (dissolution and cementation of coral framework), sediment particle baffling, and climate-driven changes in sedimentation patterns.</x:v>
      </x:c>
      <x:c r="S80" s="7" t="str">
        <x:v>Coral growth and mound development rates, presence/absence of dense coral cover, mound accumulation rates, hiatuses in coral growth, post-depositional alteration of coral framework, and stability of mound slopes.</x:v>
      </x:c>
      <x:c r="T80" s="7" t="str">
        <x:v>Direct deep/cold-water coral source with explicit sediment pathway and biological/ecological or mound development evidence, meeting B01.</x:v>
      </x:c>
      <x:c r="U80" s="7" t="str">
        <x:v>This dissertation examines cold-water coral mounds (Lophelia pertusa, Madrepora oculata) along the Irish margin, explicitly addressing sedimentary processes at mound sites, sediment accumulation, erosion, non-deposition, and diagenesis. It links these sediment-related processes to coral growth, mound development, hiatuses, and responses to climate-driven hydrodynamic changes. The organism and sediment pathway are clear, and response evidence includes coral growth and mound accumulation. Therefore, it qualifies under B01. Closest alternative is B02, but direct biological/ecological evidence is present in the abstract, so B01 is preferable. EXCLUDE is inappropriate because the record is not merely geological; it integrates biological and sedimentological aspects. The abstract provides sufficient information, so needs_full_text is false.</x:v>
      </x:c>
      <x:c r="V80" s="7" t="str">
        <x:v>ALL_VERIFIED_NON_TROPICAL_TIER_B_INCLUSIONS</x:v>
      </x:c>
      <x:c r="W80" s="7" t="str">
        <x:v>TBV1-0055</x:v>
      </x:c>
    </x:row>
    <x:row r="81" ht="42" customHeight="1">
      <x:c r="A81" s="14" t="str">
        <x:v>B</x:v>
      </x:c>
      <x:c r="B81" s="7" t="str">
        <x:v>CWC-835475052BC2</x:v>
      </x:c>
      <x:c r="C81" s="7" t="str">
        <x:v>Impact of environmental gradients on juvenile coral demography across the Great Barrier Reef and Torres Strait</x:v>
      </x:c>
      <x:c r="D81" s="7" t="str">
        <x:v>Christopher Doropoulos | Mariana Álvarez‐Noriega | Katharina Fabricius | Renata Ferrari | Peter J. Mumby | Sam H. C. Noonan | Melanie Orr | Kinam Salee</x:v>
      </x:c>
      <x:c r="E81" s="11" t="str">
        <x:v>2025</x:v>
      </x:c>
      <x:c r="F81" s="7" t="str">
        <x:v>Coral Reefs</x:v>
      </x:c>
      <x:c r="G81" s="7" t="str">
        <x:v>article</x:v>
      </x:c>
      <x:c r="H81" s="7" t="str">
        <x:v>10.1007/s00338-025-02742-6</x:v>
      </x:c>
      <x:c r="I81" s="7" t="str">
        <x:v>https://doi.org/10.1007/s00338-025-02742-6</x:v>
      </x:c>
      <x:c r="J81" s="7" t="str">
        <x:v>Demographic rates of juvenile corals are critical to reef recovery, yet their variation across environmental gradients remains understudied. Over three years, we assessed juvenile coral vital rates across the Great Barrier Reef (GBR) and Torres Strait (TS), spanning 14 degrees latitude and diverse inshore to offshore environments. Environmental conditions varied, with annual temperatures ranging 24-28 degrees C, high turbidity in the southern inshore GBR, and elevated chlorophyll a in the southern offshore GBR. Despite these differences, juvenile assemblages of five common coral groups (Montipora, Acropora, Pocilloporidae, Merulinidae, and Porites) were broadly similar. Recruitment patterns varied with Acropora highest in southern offshore and central reefs, and Porites in southern offshore and northern reefs. Annual mortality rates were consistent across locations, but taxa-specific negative responses to turf height and sedimentation were observed. Net juvenile density increased by 3 m(-)2 yr(-)1, with higher gains for Acropora in southern offshore reefs (3.8 m(-)2 yr(-)1) and Porites in northern offshore reefs (3.5 m(-)2 yr(-)1). Individual survival improved with size, and temperature effects were taxon-dependent-negative for Acropora, neutral for Montipora and Pocilloporidae, and positive for Merulinidae and Porites. Temperature did not correlate with linear growth in any group, but water flow positively influenced growth in most taxa. Fast-growing Acropora and Pocilloporidae showed positive size-growth relationships, unlike slower-growing Merulinidae and Porites. These findings provide baseline demographic data across the GBR and TS, revealing both congruence and divergence with ecological theory. They offer essential input for predictive models, site-specific restoration planning, and evaluating interventions relative to natural background dynamics.</x:v>
      </x:c>
      <x:c r="K81" s="11" t="str">
        <x:v>YES</x:v>
      </x:c>
      <x:c r="L81" s="7" t="str">
        <x:v>FROZEN_PUBLIC_FULL_TEXT_LOCATION</x:v>
      </x:c>
      <x:c r="M81" s="7" t="str">
        <x:v>https://link.springer.com/content/pdf/10.1007/s00338-025-02742-6.pdf</x:v>
      </x:c>
      <x:c r="N81" s="7" t="str">
        <x:v>VERIFIED_DOI_DOCUMENT</x:v>
      </x:c>
      <x:c r="O81" s="7" t="str">
        <x:v>B04_TROPICAL_PHYSICAL_SEDIMENT_ANALOGUE</x:v>
      </x:c>
      <x:c r="P81" s="11" t="str">
        <x:v>HIGH</x:v>
      </x:c>
      <x:c r="Q81" s="7" t="str">
        <x:v>Juvenile corals of five common groups (Montipora, Acropora, Pocilloporidae, Merulinidae, Porites) on the Great Barrier Reef and Torres Strait.</x:v>
      </x:c>
      <x:c r="R81" s="7" t="str">
        <x:v>Environmental gradients including high turbidity in the southern inshore Great Barrier Reef, with explicit assessment of sedimentation effects.</x:v>
      </x:c>
      <x:c r="S81" s="7" t="str">
        <x:v>Taxa-specific negative responses to sedimentation affecting annual mortality; measures of recruitment, survival, growth, and net density changes over three years.</x:v>
      </x:c>
      <x:c r="T81" s="7" t="str">
        <x:v>Tropical coral study directly examining physical sediment exposure (sedimentation and turbidity) and reporting relevant biological responses (mortality and demographic rates), fitting B04.</x:v>
      </x:c>
      <x:c r="U81" s="7" t="str">
        <x:v>This is an empirical field study on tropical juvenile corals across multiple reefs. It explicitly evaluates environmental gradients including high turbidity and sedimentation and reports taxa-specific negative responses to sedimentation on mortality and other demographic rates. This is direct physical sediment exposure with biological response evidence, satisfying the B04 tropical physical sediment analogue criterion. It is not merely mentioning sediment; sedimentation is a measured stressor with demonstrated effects. The closest alternative would be exclusion for non-central stressor, but the abstract clearly identifies negative sedimentation responses, making inclusion appropriate.</x:v>
      </x:c>
      <x:c r="V81" s="7" t="str">
        <x:v>SPARING_TOP_25_TROPICAL_DIRECT_PHYSICAL_ANALOGUES</x:v>
      </x:c>
      <x:c r="W81" s="7" t="str">
        <x:v>TBV1-1159</x:v>
      </x:c>
    </x:row>
    <x:row r="82" ht="42" customHeight="1">
      <x:c r="A82" s="14" t="str">
        <x:v>B</x:v>
      </x:c>
      <x:c r="B82" s="7" t="str">
        <x:v>CWC-B7A3E7B4DD58</x:v>
      </x:c>
      <x:c r="C82" s="7" t="str">
        <x:v>Impact of Increased Terrigenous Sediment in Near-Shore Reef Systems</x:v>
      </x:c>
      <x:c r="D82" s="7" t="str">
        <x:v>Tyler Logie</x:v>
      </x:c>
      <x:c r="E82" s="11" t="str">
        <x:v>2020</x:v>
      </x:c>
      <x:c r="F82" s="7" t="str"/>
      <x:c r="G82" s="7" t="str">
        <x:v>article</x:v>
      </x:c>
      <x:c r="H82" s="7" t="str">
        <x:v>10.26153/tsw/12342</x:v>
      </x:c>
      <x:c r="I82" s="7" t="str">
        <x:v>https://doi.org/10.26153/tsw/12342</x:v>
      </x:c>
      <x:c r="J82" s="7" t="str">
        <x:v>Changes in the flux of terrestrial sediment into the ocean can cause marine ecosystems to suffer severe environmental stress. The physical effects of increased terrestrial erosion towards the shallow ocean can decrease light quality, increases the energy that reef builders must expend, and in extreme cases can cause burial of near-shore reefs. The influx of new terrestrial sediment can also have a notable effect on the chemistry of the ocean by increasing the flux of nutrients. This can alter the trophic state of the area, favor the expansion of algae over metazoan reef builders such as corals, and potentially cause a decrease in free oxygen available in the water column. The effects of increased terrestrial sediment flux can be seen most clearly during time intervals during which a spike in atmospheric CO2 concentration causes the global silicate weathering rate to increase. These events are commonly associated with global marine extinctions, as is the case at the Permian/Triassic boundary and during the Toarcian Ocean Anoxic Event. Isotope and trace element geochemistry can be used to reconstruct changes in the global silicate weathering rate, marine nutrient content, and fraction of terrestrial sediment in a marine setting. By combining these geochemical data with modern studies of reefs under sediment stress, the mechanisms driving reef collapses in the geologic record are better understood. This information can be applied to research attempting to predict the impact of increased sediment flux associated with climate change.</x:v>
      </x:c>
      <x:c r="K82" s="11" t="str">
        <x:v>NO</x:v>
      </x:c>
      <x:c r="L82" s="7" t="str">
        <x:v>NOT_CONFIRMED</x:v>
      </x:c>
      <x:c r="M82" s="7" t="str"/>
      <x:c r="N82" s="7" t="str">
        <x:v>VERIFIED_DOI_DOCUMENT</x:v>
      </x:c>
      <x:c r="O82" s="7" t="str">
        <x:v>B05_BROAD_SYNTHESIS_WITH_TARGET_EVIDENCE</x:v>
      </x:c>
      <x:c r="P82" s="11" t="str">
        <x:v>HIGH</x:v>
      </x:c>
      <x:c r="Q82" s="7" t="str">
        <x:v>Coral reef builders (corals) explicitly mentioned as metazoan reef builders affected by terrestrial sediment; algae expansion over corals is discussed.</x:v>
      </x:c>
      <x:c r="R82" s="7" t="str">
        <x:v>Increased terrigenous sediment flux, burial, reduced light quality, and nutrient flux changes; explicit sediment pathway.</x:v>
      </x:c>
      <x:c r="S82" s="7" t="str">
        <x:v>Decreased light quality, increased energy expenditure, reef burial, altered trophic state, algae expansion, decreased oxygen, and reef collapse mechanisms; synthesis of modern reef sediment-stress studies.</x:v>
      </x:c>
      <x:c r="T82" s="7" t="str">
        <x:v>Substantive synthesis/thesis focused on sediment impacts on near-shore reef systems, with clearly identified coral evidence and mechanistic pathways, fitting Tier B broad synthesis with target evidence.</x:v>
      </x:c>
      <x:c r="U82" s="7" t="str">
        <x:v>The abstract explicitly discusses increased terrestrial sediment effects on coral reef builders, including burial, light reduction, and energy costs, with a synthesis of modern studies. This is a substantive document (thesis/article) with a direct sediment-impact focus. It is not deep/cold (B02) nor an original experimental tropical study (B04); B05 is the best fit as a synthesis with separately identifiable coral evidence. The abstract provides sufficient detail, so full text is not needed for screening.</x:v>
      </x:c>
      <x:c r="V82" s="7" t="str">
        <x:v>ALL_VERIFIED_NON_TROPICAL_TIER_B_INCLUSIONS</x:v>
      </x:c>
      <x:c r="W82" s="7" t="str">
        <x:v>TBV1-1290</x:v>
      </x:c>
    </x:row>
    <x:row r="83" ht="42" customHeight="1">
      <x:c r="A83" s="14" t="str">
        <x:v>B</x:v>
      </x:c>
      <x:c r="B83" s="7" t="str">
        <x:v>CWC-04B3CFB894A9</x:v>
      </x:c>
      <x:c r="C83" s="7" t="str">
        <x:v>Impact of warming and suspended terrigenous sediment on the Hawaiian reef coral Montipora capitata</x:v>
      </x:c>
      <x:c r="D83" s="7" t="str">
        <x:v>Alexandra M. Good | Ashleigh M. Epps | Maile Coberly | Kuʻulei S. Rodgers | Nancy G. Prouty | Curt D. Storlazzi | Keisha D. Bahr</x:v>
      </x:c>
      <x:c r="E83" s="11" t="str">
        <x:v>2025</x:v>
      </x:c>
      <x:c r="F83" s="7" t="str">
        <x:v>Coral Reefs</x:v>
      </x:c>
      <x:c r="G83" s="7" t="str">
        <x:v>article</x:v>
      </x:c>
      <x:c r="H83" s="7" t="str">
        <x:v>10.1007/s00338-025-02752-4</x:v>
      </x:c>
      <x:c r="I83" s="7" t="str">
        <x:v>https://doi.org/10.1007/s00338-025-02752-4</x:v>
      </x:c>
      <x:c r="J83" s="7" t="str">
        <x:v>Coral reefs near high human population areas suffer from sedimentation and increased turbidity due to coastal development. However, there is limited research on how key species respond to turbidity caused by terrigenous sediment and how this response may change with increased water temperatures. This study investigated the effects of ambient and elevated turbidity (+ 26 NTU) in combination with ambient (27.1 degrees C) and elevated temperature (+ 4.1 degrees C; 31.2 degrees C) on the dominant Hawaiian reef coral Montipora capitata, collected from two K &amp; amacr;ne'ohe Bay watersheds with distinct environmental histories. Using intermittent flow respirometry, we found that acute (12 h) exposure to elevated turbidity and temperature impacted algal symbionts (Symbiodinium spp.) but not the coral host, suggesting a potential delayed host physiological response. Corals from south K &amp; amacr;ne'ohe Bay, where restricted water circulation and urbanization have degraded water quality, were more sensitive to stressors than those from the less-impacted northern sites, indicating that physiological responses vary by location and may be influenced by watershed conditions. The findings suggest that while short-term turbidity and warming impact Symbiodinium spp. immediately, prolonged exposure may lead to cascading effects on the coral host. Understanding these species-specific and location-dependent responses enhances our ability to guide restoration and conservation efforts for coral ecosystems facing both local (turbidity) and global (warming) stressors. Los arrecifes de coral cercanos a &amp; aacute;reas con alta densidad de poblaci &amp; oacute;n humana sufren de sedimentaci &amp; oacute;n y aumento de la turbidez debido al desarrollo costero. Sin embargo, existe una investigaci &amp; oacute;n limitada sobre c &amp; oacute;mo responden las especies clave a la turbidez causada por sedimentos terr &amp; iacute;genos y c &amp; oacute;mo esta respuesta puede cambiar con el aumento de la temperatura del agua. Este estudio investig &amp; oacute; los efectos de la turbidez ambiental y elevada (+26 NTU) en combinaci &amp; oacute;n con temperatura ambiental (27.1 degrees C) y elevada (+4.1 degrees C; 31.2 degrees C) en el coral dominante de los arrecifes hawaianos Montipora capitata, recolectado de dos cuencas hidrogr &amp; aacute;ficas de la Bah &amp; iacute;a de K &amp; amacr;ne'ohe con historias ambientales distintas. Usando respirometr &amp; iacute;a de flujo intermitente, encontramos que la exposici &amp; oacute;n aguda (12 h) a la turbidez y temperatura elevadas afect &amp; oacute; a los simbiontes algales (Symbiodinium spp.), pero no al hospedador coralino, lo que sugiere una posible respuesta fisiol &amp; oacute;gica retardada del hospedador. Los corales del sur de la Bah &amp; iacute;a de K &amp; amacr;ne'ohe, donde la circulaci &amp; oacute;n del agua es restringida y la urbanizaci &amp; oacute;n ha degradado la calidad del agua, fueron m &amp; aacute;s sensibles a los factores de estr &amp; eacute;s que los de los sitios menos impactados del norte, lo que indica que las respuestas fisiol &amp; oacute;gicas var &amp; iacute;an seg &amp; uacute;n la ubicaci &amp; oacute;n y pueden estar influenciadas por las condiciones de la cuenca. Los resultados sugieren que, si bien la turbidez y el calentamiento a corto plazo afectan de inmediato a Symbiodinium spp., una exposici &amp; oacute;n prolongada puede provocar efectos en cascada sobre el hospedador coralino. Comprender estas respuestas espec &amp; iacute;ficas por especie y dependientes de la ubicaci &amp; oacute;n mejora nuestra capacidad para orientar los esfuerzos de restauraci &amp; oacute;n y conservaci &amp; oacute;n de los ecosistemas coralinos que enfrentan tanto factores de estr &amp; eacute;s locales (turbidez) como globales (calentamiento).</x:v>
      </x:c>
      <x:c r="K83" s="11" t="str">
        <x:v>YES</x:v>
      </x:c>
      <x:c r="L83" s="7" t="str">
        <x:v>FROZEN_PUBLIC_FULL_TEXT_LOCATION</x:v>
      </x:c>
      <x:c r="M83" s="7" t="str">
        <x:v>https://link.springer.com/content/pdf/10.1007/s00338-025-02752-4.pdf</x:v>
      </x:c>
      <x:c r="N83" s="7" t="str">
        <x:v>VERIFIED_DOI_DOCUMENT</x:v>
      </x:c>
      <x:c r="O83" s="7" t="str">
        <x:v>B04_TROPICAL_PHYSICAL_SEDIMENT_ANALOGUE</x:v>
      </x:c>
      <x:c r="P83" s="11" t="str">
        <x:v>HIGH</x:v>
      </x:c>
      <x:c r="Q83" s="7" t="str">
        <x:v>Montipora capitata (Hawaiian reef coral) and its algal symbionts (Symbiodinium spp.).</x:v>
      </x:c>
      <x:c r="R83" s="7" t="str">
        <x:v>Suspended terrigenous sediment/turbidity (+26 NTU) combined with warming (+4.1 °C); explicitly linked to sedimentation and coastal development.</x:v>
      </x:c>
      <x:c r="S83" s="7" t="str">
        <x:v>Impacts on algal symbionts (immediate), potential delayed host physiological response, and location-dependent sensitivity (south Kāneʻohe Bay corals more sensitive).</x:v>
      </x:c>
      <x:c r="T83" s="7" t="str">
        <x:v>This is a tropical coral study directly experimentally testing physical sediment exposure (turbidity) and reporting a biological response (symbiont physiology, host sensitivity). It qualifies under B04 as a broader tropical analogue than Tier A, even though host response was not yet significant after acute 12-h exposure.</x:v>
      </x:c>
      <x:c r="U83" s="7" t="str">
        <x:v>The record clearly meets Tier B inclusion: it is a substantive article (not a discovery webpage) focused on a coral species, experimentally exposing it to elevated turbidity from terrigenous sediment, and measuring biological responses (symbiont effects, location-specific coral sensitivity). This is exactly B04, a tropical physical sediment analogue with direct exposure and relevant response data. It is not merely mentioning sediment; the experimental design and results center on turbidity. It is not eligible for CHAIN_ONLY because it contains direct evidence. Exclusions do not apply: corals are the target, sediment pathway is explicit, and response/assessment is present. Confidence is HIGH from the detailed abstract.</x:v>
      </x:c>
      <x:c r="V83" s="7" t="str">
        <x:v>SPARING_TOP_25_TROPICAL_DIRECT_PHYSICAL_ANALOGUES</x:v>
      </x:c>
      <x:c r="W83" s="7" t="str">
        <x:v>TBV1-1033</x:v>
      </x:c>
    </x:row>
    <x:row r="84" ht="42" customHeight="1">
      <x:c r="A84" s="14" t="str">
        <x:v>B</x:v>
      </x:c>
      <x:c r="B84" s="7" t="str">
        <x:v>CWC-01AC06FE96E2</x:v>
      </x:c>
      <x:c r="C84" s="7" t="str">
        <x:v>Impacts of sedimentation on coral health and reef ecosystems: A comprehensive review</x:v>
      </x:c>
      <x:c r="D84" s="7" t="str">
        <x:v>Md. Simul Bhuyan | Maroua Jenzri | Diponkor Adikari</x:v>
      </x:c>
      <x:c r="E84" s="11" t="str">
        <x:v>2025</x:v>
      </x:c>
      <x:c r="F84" s="7" t="str">
        <x:v>Marine Pollution Bulletin</x:v>
      </x:c>
      <x:c r="G84" s="7" t="str">
        <x:v>article</x:v>
      </x:c>
      <x:c r="H84" s="7" t="str">
        <x:v>10.1016/j.marpolbul.2025.118480</x:v>
      </x:c>
      <x:c r="I84" s="7" t="str">
        <x:v>https://doi.org/10.1016/j.marpolbul.2025.118480</x:v>
      </x:c>
      <x:c r="J84" s="7" t="str">
        <x:v>Sedimentation is a major yet often underestimated driver of coral reef degradation, affecting coral physiology, reproduction, and ecosystem structure. This review synthesizes findings from 252 peer-reviewed studies (1977-2025) identified through systematic searches using PRISMA guidelines. A bibliometric analysis conducted with VOSviewer (v1.6.17) revealed ten co-authorship clusters, highlighting influential contributors such as Erftemeijer, Paul L.A., and Jones, Ross. The review examines sediment delivery pathways-terrestrial runoff, dredging, and biogenic sources-and their impacts across coral life stages. Dominant affected species include Acropora (27 %), Montipora (18 %), and Porites (16 %), which suffer from reduced photosynthesis, smothering, decreased recruitment, and elevated mortality. Fine sediments impair light penetration, carry toxins, and damage coral tissues. Coral recruits show heightened sensitivity, with sedimentation significantly lowering fertilization, settlement, and survival rates. Although some species display tolerance mechanisms, these are inadequate under chronic stress. The study underscores the urgency for integrated watershed management and adaptive mitigation to bolster coral resilience amid rising anthropogenic and climate stressors.</x:v>
      </x:c>
      <x:c r="K84" s="11" t="str">
        <x:v>NO</x:v>
      </x:c>
      <x:c r="L84" s="7" t="str">
        <x:v>NOT_CONFIRMED</x:v>
      </x:c>
      <x:c r="M84" s="7" t="str"/>
      <x:c r="N84" s="7" t="str">
        <x:v>VERIFIED_DOI_DOCUMENT</x:v>
      </x:c>
      <x:c r="O84" s="7" t="str">
        <x:v>B05_BROAD_SYNTHESIS_WITH_TARGET_EVIDENCE</x:v>
      </x:c>
      <x:c r="P84" s="11" t="str">
        <x:v>HIGH</x:v>
      </x:c>
      <x:c r="Q84" s="7" t="str">
        <x:v>Corals, with prominent genera Acropora (27%), Montipora (18%), Porites (16%)</x:v>
      </x:c>
      <x:c r="R84" s="7" t="str">
        <x:v>Sedimentation from terrestrial runoff, dredging, and biogenic sources; fine sediments impair light penetration and carry toxins</x:v>
      </x:c>
      <x:c r="S84" s="7" t="str">
        <x:v>Reduced photosynthesis, smothering, decreased recruitment, elevated mortality, lower fertilization and settlement in recruits, tolerance mechanisms inadequate under chronic stress</x:v>
      </x:c>
      <x:c r="T84" s="7" t="str">
        <x:v>A comprehensive sediment-effects review that separately reports coral evidence relevant to the review, including physiological, reproductive, and ecosystem impacts.</x:v>
      </x:c>
      <x:c r="U84" s="7" t="str">
        <x:v>This review directly synthesizes evidence on sedimentation impacts on coral health and reef ecosystems, with explicit reporting of affected species, biological responses, and ecosystem consequences. It qualifies as a broad sediment-effects synthesis with target coral evidence (B05). B04 is less appropriate because this is a review, not a direct measurement/experiment. B01/B03 do not apply as the focus is tropical corals rather than deep/cold-water taxa.</x:v>
      </x:c>
      <x:c r="V84" s="7" t="str">
        <x:v>ALL_VERIFIED_NON_TROPICAL_TIER_B_INCLUSIONS</x:v>
      </x:c>
      <x:c r="W84" s="7" t="str">
        <x:v>TBV1-1072</x:v>
      </x:c>
    </x:row>
    <x:row r="85" ht="42" customHeight="1">
      <x:c r="A85" s="14" t="str">
        <x:v>B</x:v>
      </x:c>
      <x:c r="B85" s="7" t="str">
        <x:v>CWC-4FA30D292001</x:v>
      </x:c>
      <x:c r="C85" s="7" t="str">
        <x:v>The Importance of Ecological Accommodation Space and Sediment Supply for Cold-Water Coral Mound Formation, a Case Study From the Western Mediterranean Sea</x:v>
      </x:c>
      <x:c r="D85" s="7" t="str">
        <x:v>Haozhuang Wang | Jürgen Titschack | Claudia Wienberg | Chelsea A. Korpanty | Dierk Hebbeln</x:v>
      </x:c>
      <x:c r="E85" s="11" t="str">
        <x:v>2021</x:v>
      </x:c>
      <x:c r="F85" s="7" t="str">
        <x:v>Frontiers in Marine Science</x:v>
      </x:c>
      <x:c r="G85" s="7" t="str">
        <x:v>article</x:v>
      </x:c>
      <x:c r="H85" s="7" t="str">
        <x:v>10.3389/fmars.2021.760909</x:v>
      </x:c>
      <x:c r="I85" s="7" t="str">
        <x:v>https://doi.org/10.3389/fmars.2021.760909</x:v>
      </x:c>
      <x:c r="J85" s="7" t="str">
        <x:v>The formation of cold-water coral (CWC) mounds is commonly seen as being the result of the sustained growth of framework-forming CWCs and the concurrent supply and deposition of terrigenous sediments under energetic hydrodynamic conditions. Yet only a limited number of studies investigated the complex interplay of the various hydrodynamic, sedimentological and biological processes involved in mound formation, which, however, focused on the environmental conditions promoting coral growth. Therefore, we are still lacking an in-depth understanding of the processes allowing the on-mound deposition of hemipelagic sediments, which contribute to two thirds of coral mound deposits. To investigate these processes over geological time and to evaluate their contribution to coral mound formation, we reconstructed changes in sediment transport and deposition by comparing sedimentological parameters (grain-size distribution, sediment composition, accumulation rates) of two sediment cores collected from a Mediterranean coral mound and the adjacent seafloor (off-mound). Our results showed that under a turbulent hydrodynamic regime promoting coral growth during the Early Holocene, the deposition of fine siliciclastic sediments shifted from the open seafloor to the coral mounds. This led to a high average mound aggradation rate of &amp;gt;130 cm kyr –1 , while sedimentation rates in the adjacent off-mound area at the same time did not exceed 10 cm kyr –1 . Thereby, the baffling of suspended sediments by the coral framework and their deposition within the ecological accommodation space provided by the corals seem to be key processes for mound formation. Although, it is commonly accepted that these processes play important roles in various sedimentary environments, our study provided for the first time, core-based empirical data proving the efficiency of these processes in coral mound environment. In addition, our approach to compare the grain-size distribution of the siliciclastic sediments deposited concurrently on a coral mound and on the adjacent seafloor allowed us to investigate the integrated influence of coral mound morphology and coral framework on the mound formation process. Based on these results, this study provides the first conceptual model for coral mound formation by applying sequence stratigraphic concepts, which highlights the interplay of the coral-framework baffling capacity, coral-derived ecological accommodation space and sediment supply.</x:v>
      </x:c>
      <x:c r="K85" s="11" t="str">
        <x:v>YES</x:v>
      </x:c>
      <x:c r="L85" s="7" t="str">
        <x:v>FROZEN_PUBLIC_FULL_TEXT_LOCATION</x:v>
      </x:c>
      <x:c r="M85" s="7" t="str">
        <x:v>https://www.frontiersin.org/articles/10.3389/fmars.2021.760909/pdf</x:v>
      </x:c>
      <x:c r="N85" s="7" t="str">
        <x:v>VERIFIED_DOI_DOCUMENT</x:v>
      </x:c>
      <x:c r="O85" s="7" t="str">
        <x:v>B01_DEEP_COLD_SEDIMENT_EVIDENCE</x:v>
      </x:c>
      <x:c r="P85" s="11" t="str">
        <x:v>HIGH</x:v>
      </x:c>
      <x:c r="Q85" s="7" t="str">
        <x:v>Cold-water corals (CWC), specifically framework-forming species that build coral mounds in the western Mediterranean Sea.</x:v>
      </x:c>
      <x:c r="R85" s="7" t="str">
        <x:v>Sediment supply and deposition, including terrigenous hemipelagic suspended sediments baffled by the coral framework; hydrodynamic conditions influencing sediment transport and deposition.</x:v>
      </x:c>
      <x:c r="S85" s="7" t="str">
        <x:v>Mound aggradation rates &gt;130 cm kyr–1 versus off-mound sedimentation &lt;10 cm kyr–1; empirical evidence of coral-framework baffling capacity and ecological accommodation space in mound formation.</x:v>
      </x:c>
      <x:c r="T85" s="7" t="str">
        <x:v>Directly addresses sediment supply and deposition interacting with cold-water corals in a deep-sea setting, providing empirical evidence for sediment-driven coral mound formation; relevant to sediment effects on cold-water coral ecosystems.</x:v>
      </x:c>
      <x:c r="U85" s="7" t="str">
        <x:v>This article is a deep-sea cold-water coral study that explicitly examines sediment supply and deposition in relation to coral mound formation. It provides empirical evidence for how suspended sediments are baffled by coral frameworks and deposited within ecological accommodation space, leading to high mound aggradation rates. This qualifies under B01 (deep/cold sediment evidence) because it addresses a sediment/deposition pathway and its ecological/geological consequences for corals. The closest alternative would be exclusion as geology/sedimentology, but the study directly links sediment transport to coral framework function and habitat formation, making it relevant to sediment effects on CWC ecosystems. It is substantive and clearly within scope.</x:v>
      </x:c>
      <x:c r="V85" s="7" t="str">
        <x:v>ALL_VERIFIED_CENTRAL_PEER_REVIEWED</x:v>
      </x:c>
      <x:c r="W85" s="7" t="str">
        <x:v>TBV1-0002</x:v>
      </x:c>
    </x:row>
    <x:row r="86" ht="42" customHeight="1">
      <x:c r="A86" s="14" t="str">
        <x:v>B</x:v>
      </x:c>
      <x:c r="B86" s="7" t="str">
        <x:v>CWC-C446CEEF0433</x:v>
      </x:c>
      <x:c r="C86" s="7" t="str">
        <x:v>Influence of turbidity regime on larval settlement patterns of stony coral Pocillopora damicornis in Polhena reef, Sri Lanka</x:v>
      </x:c>
      <x:c r="D86" s="7" t="str">
        <x:v>PB Terney Pradeep Kumara</x:v>
      </x:c>
      <x:c r="E86" s="11" t="str">
        <x:v>2013</x:v>
      </x:c>
      <x:c r="F86" s="7" t="str">
        <x:v>Sri Lanka Journal of Aquatic Sciences</x:v>
      </x:c>
      <x:c r="G86" s="7" t="str">
        <x:v>article</x:v>
      </x:c>
      <x:c r="H86" s="7" t="str">
        <x:v>10.4038/sljas.v15i0.5484</x:v>
      </x:c>
      <x:c r="I86" s="7" t="str">
        <x:v>https://doi.org/10.4038/sljas.v15i0.5484</x:v>
      </x:c>
      <x:c r="J86" s="7" t="str">
        <x:v>Coral population structure is determined mainly by the larval settlement and recruitment pattern of sclerectenian corals. This pattern is mainly influenced by various environmental parameters such as temperature, pH, salinity, depth, current velocity and direction, tidal variations and turbidity. Experiments reported here examine the impacts of turbidity on the spatio-temporal distribution patterns of larval settlement of Indo-Pacific coral, Pocillopora damicornis at Polhena reef of Southern Sri Lanka. The experiment was conducted in four sites. Depending on the topography and the characteristics of the reef substrate each site was further divided in to three locations as reef crest, mid reef flat and reef lagoon. Terracotta tiles were attached to quantify larval settlement rates. Tiles were retrieved in monthly intervals and observed for P. damicornis larval settlements. Turbidity measurements were taken from the same locations. Larval settlement and turbidity showed a significant temporal (P&lt;0.05) and spatial variation (MDS stress&lt;0.1). The highest settlement rate and turbidity level were observed in May and March respectively. A significant relationship was observed between larval settlement pattern and sedimentation regime (RELATE test, ρ = 0.251, P&lt;0.05). DOI: http://dx.doi.org/10.4038/sljas.v15i0.5484 Sri Lanka J. Aquat. Sci. 15 (2010): p.45-60</x:v>
      </x:c>
      <x:c r="K86" s="11" t="str">
        <x:v>YES</x:v>
      </x:c>
      <x:c r="L86" s="7" t="str">
        <x:v>FROZEN_PUBLIC_FULL_TEXT_LOCATION</x:v>
      </x:c>
      <x:c r="M86" s="7" t="str">
        <x:v>https://storage.googleapis.com/jnl-sljo-j-sljas-files/journals/1/articles/5484/submission/proof/5484-1-19569-1-10-20130506.pdf</x:v>
      </x:c>
      <x:c r="N86" s="7" t="str">
        <x:v>VERIFIED_DOI_DOCUMENT</x:v>
      </x:c>
      <x:c r="O86" s="7" t="str">
        <x:v>B04_TROPICAL_PHYSICAL_SEDIMENT_ANALOGUE</x:v>
      </x:c>
      <x:c r="P86" s="11" t="str">
        <x:v>HIGH</x:v>
      </x:c>
      <x:c r="Q86" s="7" t="str">
        <x:v>Tropical stony coral Pocillopora damicornis</x:v>
      </x:c>
      <x:c r="R86" s="7" t="str">
        <x:v>Turbidity regime/sedimentation, measured in reef locations</x:v>
      </x:c>
      <x:c r="S86" s="7" t="str">
        <x:v>Larval settlement rates showed significant temporal and spatial variation, with a significant relationship between settlement pattern and sedimentation regime (RELATE test)</x:v>
      </x:c>
      <x:c r="T86" s="7" t="str">
        <x:v>Direct test of turbidity effects on coral larval settlement in a tropical reef, providing a physical sediment exposure and clearly relevant biological response (settlement).</x:v>
      </x:c>
      <x:c r="U86" s="7" t="str">
        <x:v>This tropical coral study experimentally investigates the impact of turbidity regime on larval settlement of Pocillopora damicornis, directly measuring turbidity and settlement rates across reef sites. The significant relationship between larval settlement and sedimentation regime meets Tier B pathway B04 as a tropical physical sediment analogue with a clear biological response (settlement). The closest alternative would be CHAIN_ONLY, but the abstract contains direct experimental evidence of a sediment-turbidity effect on coral reproduction/settlement, not merely references. Therefore, include under B04.</x:v>
      </x:c>
      <x:c r="V86" s="7" t="str">
        <x:v>SPARING_TOP_25_TROPICAL_DIRECT_PHYSICAL_ANALOGUES</x:v>
      </x:c>
      <x:c r="W86" s="7" t="str">
        <x:v>TBV1-1164</x:v>
      </x:c>
    </x:row>
    <x:row r="87" ht="42" customHeight="1">
      <x:c r="A87" s="14" t="str">
        <x:v>B</x:v>
      </x:c>
      <x:c r="B87" s="7" t="str">
        <x:v>CWC-F68E5C6130D2</x:v>
      </x:c>
      <x:c r="C87" s="7" t="str">
        <x:v>Insights from multispecies coral seeding deployments on turbid nearshore reefs</x:v>
      </x:c>
      <x:c r="D87" s="7" t="str">
        <x:v>Cathie A. Page | Christine Giuliano | Carly J. Randall</x:v>
      </x:c>
      <x:c r="E87" s="11" t="str">
        <x:v>2026</x:v>
      </x:c>
      <x:c r="F87" s="7" t="str">
        <x:v>Coral Reefs</x:v>
      </x:c>
      <x:c r="G87" s="7" t="str">
        <x:v>article</x:v>
      </x:c>
      <x:c r="H87" s="7" t="str">
        <x:v>10.1007/s00338-026-02843-w</x:v>
      </x:c>
      <x:c r="I87" s="7" t="str">
        <x:v>https://doi.org/10.1007/s00338-026-02843-w</x:v>
      </x:c>
      <x:c r="J87" s="7" t="str">
        <x:v>Coral seeding may help sustain coral populations in a warming ocean; however, key knowledge gaps currently temper the successful application of this method across varied reef environments. This study investigated the survival and growth of three common coral species seeded on two device designs and deployed across a broad range of benthic communities in the Keppel Islands, southern inshore Great Barrier Reef. We examined the influence of algal cover and biomass, sedimentation, water flow, and temperature on seeding success after one year. Benthic communities at deployment sites ranged from coral to macroalgal dominated, yet site-level differences in survival were only detected for Acropora millepora on one device type. Coral survival and size were related to macroalgal biomass and/or cover (particularly Sargassum ), sedimentation, water temperature, and water flow, and the patterns were species specific. Overall, Montipora aequituberculata demonstrated higher survival than A. millepora and A. muricata, consistent with a previous deployment in the region. Higher survival was also observed in a side compared to an upward-facing orientation. Survival increased with the number of A. millepora spat on fixed devices and A. muricata spat on tethered devices, suggesting positive density-dependent effects. This study highlights the complex, taxa-dependent ways in which seeded coral survival is influenced by device design, pre-deployment spat number, and deployment environment.</x:v>
      </x:c>
      <x:c r="K87" s="11" t="str">
        <x:v>YES</x:v>
      </x:c>
      <x:c r="L87" s="7" t="str">
        <x:v>FROZEN_PUBLIC_FULL_TEXT_LOCATION</x:v>
      </x:c>
      <x:c r="M87" s="7" t="str">
        <x:v>https://link.springer.com/content/pdf/10.1007/s00338-026-02843-w.pdf</x:v>
      </x:c>
      <x:c r="N87" s="7" t="str">
        <x:v>VERIFIED_DOI_DOCUMENT</x:v>
      </x:c>
      <x:c r="O87" s="7" t="str">
        <x:v>B04_TROPICAL_PHYSICAL_SEDIMENT_ANALOGUE</x:v>
      </x:c>
      <x:c r="P87" s="11" t="str">
        <x:v>HIGH</x:v>
      </x:c>
      <x:c r="Q87" s="7" t="str">
        <x:v>Tropical scleractinian corals: Acropora millepora, A. muricata, Montipora aequituberculata.</x:v>
      </x:c>
      <x:c r="R87" s="7" t="str">
        <x:v>Sedimentation (along with water flow, temperature, and macroalgal biomass/cover) as an environmental variable influencing seeded coral performance.</x:v>
      </x:c>
      <x:c r="S87" s="7" t="str">
        <x:v>Coral survival, growth/size, and seeding success after one year, with species-specific responses.</x:v>
      </x:c>
      <x:c r="T87" s="7" t="str">
        <x:v>Tropical study directly measuring physical sediment exposure (sedimentation) and reporting biological responses (survival, growth) for corals, meeting B04 criteria.</x:v>
      </x:c>
      <x:c r="U87" s="7" t="str">
        <x:v>This tropical coral seeding study in the Keppel Islands (Great Barrier Reef) explicitly investigates sedimentation as a predictor of coral survival and size. It qualifies under B04 because it directly evaluates physical sediment exposure and reports biological responses for multiple coral species at the organism level. The abstract clearly links sedimentation to seeding success, so exclusion is not warranted. Other pathways (deep/cold) do not apply. Confidence is high due to explicit mention of sedimentation effects in the abstract.</x:v>
      </x:c>
      <x:c r="V87" s="7" t="str">
        <x:v>SPARING_TOP_25_TROPICAL_DIRECT_PHYSICAL_ANALOGUES</x:v>
      </x:c>
      <x:c r="W87" s="7" t="str">
        <x:v>TBV1-1166</x:v>
      </x:c>
    </x:row>
    <x:row r="88" ht="42" customHeight="1">
      <x:c r="A88" s="14" t="str">
        <x:v>B</x:v>
      </x:c>
      <x:c r="B88" s="7" t="str">
        <x:v>CWC-792395CF4241</x:v>
      </x:c>
      <x:c r="C88" s="7" t="str">
        <x:v>IODP Expedition 307 drills cold-water coral mound along the Irish continental margin</x:v>
      </x:c>
      <x:c r="D88" s="7" t="str">
        <x:v>T. Ferdelman; A. Kano; T. Williams</x:v>
      </x:c>
      <x:c r="E88" s="11" t="str">
        <x:v>2006</x:v>
      </x:c>
      <x:c r="F88" s="7" t="str"/>
      <x:c r="G88" s="7" t="str">
        <x:v>Review</x:v>
      </x:c>
      <x:c r="H88" s="7" t="str">
        <x:v>10.2204/iodp.sd.2.02.2006</x:v>
      </x:c>
      <x:c r="I88" s="7" t="str">
        <x:v>https://doi.org/10.2204/iodp.sd.2.02.2006</x:v>
      </x:c>
      <x:c r="J88" s="7" t="str">
        <x:v>Over the past decade, oceanographic and geophysical surveys along the slope of the Porcupine Seabight off the southwestern continental margin of Ireland have identified upwards of a thousand enigmatic mound-like structures (Figs. 1 and 2). The mounds of the Porcupine Seabight rise from the seafloor in water depths of 600-900 m and form impressive conical bodies several kilometers wide and up to 200 m high. Although a few mounds such as Thérèse Mound and Galway Mound are covered by a thriving thicket of coldwater corals, most mound tops and flanks are covered by dead coral rubble or are entirely buried by sediment (De Mol et al., 2002; Fig. 2, Beyer et al., 2003). Lophelia pertusa (Fig. 3) and Madrepora oculata are the most prominent cold-water corals growing without photosynthetic symbionts. The widespread discovery of large and numerous coral-bearing banks and the association of these corals with the mounds have generated significant interest as to the composition, origin and development of these mound structures. (internal control) (Hovland et al., 1998; Henriet et al., 2001). The oceanographic or environmental hypothesis states that the two most important conditions for stimulating mound development are (1) strong, nutrient-rich currents that provide suspended food to the filter-feeding corals, sweep the polyps clean of detritus and inhibit sediment burial, and (2) a stable substrate for settlement of coral larvae (Frederiksen et al., 1992). Strong bottom currents in the Belgica mound province, resulting from internal tidal wave effects at the boundary between Mediterranean Outflow Water and East North Atlantic Water, provide the suspended nutrients for filter-feeding cold-water corals.</x:v>
      </x:c>
      <x:c r="K88" s="11" t="str">
        <x:v>YES</x:v>
      </x:c>
      <x:c r="L88" s="7" t="str">
        <x:v>FROZEN_PUBLIC_FULL_TEXT_LOCATION</x:v>
      </x:c>
      <x:c r="M88" s="7" t="str">
        <x:v>https://sd.copernicus.org/articles/2/11/2006/sd-2-11-2006.pdf</x:v>
      </x:c>
      <x:c r="N88" s="7" t="str">
        <x:v>VERIFIED_DOI_DOCUMENT</x:v>
      </x:c>
      <x:c r="O88" s="7" t="str">
        <x:v>B01_DEEP_COLD_SEDIMENT_EVIDENCE</x:v>
      </x:c>
      <x:c r="P88" s="11" t="str">
        <x:v>HIGH</x:v>
      </x:c>
      <x:c r="Q88" s="7" t="str">
        <x:v>Cold-water corals Lophelia pertusa and Madrepora oculata, associated with coral mounds in the Porcupine Seabight.</x:v>
      </x:c>
      <x:c r="R88" s="7" t="str">
        <x:v>Sediment burial and sedimentary processes; the environmental hypothesis notes that currents sweep coral polyps clean of detritus and inhibit sediment burial.</x:v>
      </x:c>
      <x:c r="S88" s="7" t="str">
        <x:v>Ecological condition: thriving thickets on some mounds vs dead coral rubble or burial by sediment on others; mound development and coral growth conditions.</x:v>
      </x:c>
      <x:c r="T88" s="7" t="str">
        <x:v>This is a deep/cold-water coral source with explicit sediment-related pathways (burial, inhibition via currents) and biological/ecological condition evidence, meeting B01.</x:v>
      </x:c>
      <x:c r="U88" s="7" t="str">
        <x:v>The record is an IODP expedition report on cold-water coral mounds, explicitly discussing sediment burial and coral vitality. It identifies Lophelia pertusa and Madrepora oculata, notes that most mound tops are buried by sediment or covered in dead rubble, while others support thriving coral thickets, and links currents to preventing sediment burial. This clearly provides sediment-pathway evidence for deep/cold-water corals. It qualifies under B01, and also has review/assessment elements (B02), but B01 is more specific for the evidence provided. Exclusions do not apply. The document is substantive (expedition report, not a landing page). Confidence is high based on the abstract.</x:v>
      </x:c>
      <x:c r="V88" s="7" t="str">
        <x:v>ALL_VERIFIED_CENTRAL_PEER_REVIEWED</x:v>
      </x:c>
      <x:c r="W88" s="7" t="str">
        <x:v>TBV1-0019</x:v>
      </x:c>
    </x:row>
    <x:row r="89" ht="42" customHeight="1">
      <x:c r="A89" s="14" t="str">
        <x:v>B</x:v>
      </x:c>
      <x:c r="B89" s="7" t="str">
        <x:v>CWC-1BEA68C735FE</x:v>
      </x:c>
      <x:c r="C89" s="7" t="str">
        <x:v>Korallrev og andre bunnhabitater på Tautraryggen i Trondheimsfjorden</x:v>
      </x:c>
      <x:c r="D89" s="7" t="str">
        <x:v>Pål Buhl‐Mortensen | Jan Helge Fosså</x:v>
      </x:c>
      <x:c r="E89" s="11" t="str">
        <x:v>2001</x:v>
      </x:c>
      <x:c r="F89" s="7" t="str">
        <x:v>Duo Research Archive (University of Oslo)</x:v>
      </x:c>
      <x:c r="G89" s="7" t="str">
        <x:v>report</x:v>
      </x:c>
      <x:c r="H89" s="7" t="str"/>
      <x:c r="I89" s="7" t="str">
        <x:v>http://hdl.handle.net/11250/113679</x:v>
      </x:c>
      <x:c r="J89" s="7" t="str">
        <x:v>The Norwegian State Oil Company, Statoil, is planning a gas-pipeline in\nTrondheimsfjorden. The pipeline will cross a glacial sill containing important Lophelia\npertusa coral reefs. This cause some concern because deep-water coral reefs are highly\nsensitive for mechanical disturbance, grows slowly and are expected to need long\nrecovery time. For this reason one group of reefs on the ridge is already protected against human activities. However, only some parts of the ridge areas have been mapped and the present work reports additional mapping. Mapping of coral reefs and other bottom\nhabitats were concentrated to two potential pipeline corridors. In addition, a part of the ridge between the two alternative routes was studied. A ROV equipped with a video\nrecorder and a Van Veen grab were used. Grab samples were taken close to the reefs.\nNine main types of bottom habitats, including Lophelia reefs, were identified on the ridge. The diversity of species as documented on video is higher than on similar areas on the continental shelf. The diversity of species recorded in the grab samples was as expected for the investigated habitats. A potential pipeline route was found in an area of the ridge without reefs. On elevations and hard bottoms surrounding the potential pipeline track occurrences of sponges and gorgonian corals were documented. These species groups are also sensitive to mechanical disturbance such as anchoring of pipeline-laying vessels or heavy resuspension of sediments. NORSK SAMMENDRAG: Dypvannskorallrev av typen Lophelia pertusa er meget sårbare for mekanisk påvirkning.\nKorallene vokser sent og derfor vil skader ta lang tid på å leges. Statoil planlegger en\ngassrørledning fra Tjeldbergodden gjennom Trondheimsfjorden og inn til Skogn. En slik\nledning vil måtte krysse Tautraryggen hvor det finnes betydelige forekomster av\nkorallrev. Et stort korallrev ved Selligrunnen er fredet med status som midlertidig naturreservat. Bunnforholdene og forekomst av korallrev ble undersøkt i to potensielle traseområder. I tillegg ble en del av ryggen mellom de to trasealternativene undersøkt. Undersøkelsen er basert på analyser av video-opptak gjort med ROV (fjernstyrt miniubåt) og grabbprøver utenfor revene. Det ble dokumentert betydelige forekomster av Lophelia pertusa-korallrev og ni hovedtyper av bunnhabitater på Tautraryggen . Det biologiske mangfoldet dokumentert med videofilm er større enn på et tilsvarende areal på kontinentalsokkelen. Det biologiske mangfoldet i grabbprøvene var som forventet i de undersøkte habitatene. Det ble funnet en potensiell trase for en rørledning over ryggen hvor det ikke var korallrev. På topper og hardbunn rundt den potensielle traseen ble det dokumentert forekomster av store svamper og sjøtrær som også er sårbare for mekanisk påvirkning f.eks. oppankring av leggefartøy eller kraftig oppvirvling av sedimenter.</x:v>
      </x:c>
      <x:c r="K89" s="11" t="str">
        <x:v>NO</x:v>
      </x:c>
      <x:c r="L89" s="7" t="str">
        <x:v>NOT_CONFIRMED</x:v>
      </x:c>
      <x:c r="M89" s="7" t="str"/>
      <x:c r="N89" s="7" t="str">
        <x:v>VERIFIED_BIBLIOGRAPHIC_DOCUMENT</x:v>
      </x:c>
      <x:c r="O89" s="7" t="str">
        <x:v>B02_DEEP_COLD_REVIEW_ASSESSMENT</x:v>
      </x:c>
      <x:c r="P89" s="11" t="str">
        <x:v>HIGH</x:v>
      </x:c>
      <x:c r="Q89" s="7" t="str">
        <x:v>Lophelia pertusa coral reefs, large sponges, and gorgonian corals (sjøtrær) documented on Tautraryggen in Trondheimsfjorden.</x:v>
      </x:c>
      <x:c r="R89" s="7" t="str">
        <x:v>Mechanical disturbance from pipeline-laying vessel anchoring and heavy resuspension of sediments associated with pipeline construction.</x:v>
      </x:c>
      <x:c r="S89" s="7" t="str">
        <x:v>Assessment of coral and sponge sensitivity to mechanical disturbance and sediment resuspension; mapping of sensitive habitats to identify low-impact pipeline routes; identification of protected reef areas and diversity assessments.</x:v>
      </x:c>
      <x:c r="T89" s="7" t="str">
        <x:v>B02: Substantive report/assessment for a cold-water coral and sponge habitat with a direct sediment-impact focus (resuspension) and clear potential to inform impact, exposure, vulnerability, and mitigation for the planned pipeline.</x:v>
      </x:c>
      <x:c r="U89" s="7" t="str">
        <x:v>This report is a substantive deep/cold-water coral and sponge assessment focused on potential impacts from a gas pipeline crossing Tautraryggen. The abstract explicitly mentions sensitivity of Lophelia pertusa reefs and sponge/gorgonian habitats to mechanical disturbance and heavy resuspension of sediments. It provides mapping, habitat classification, and impact-relevant context for pipeline routing, meeting Tier B pathway B02 as an assessment/monitoring report with direct sediment-impact relevance. Unlike a mere mapping or distribution study, it evaluates biological sensitivity and informs mitigation. It is preferable over CHAIN_ONLY because it contains direct sediment pathway and sensitivity evidence for target organisms. It is not B01 because its primary value is as an assessment report rather than direct empirical effects evidence, though it includes observational data.</x:v>
      </x:c>
      <x:c r="V89" s="7" t="str">
        <x:v>ALL_VERIFIED_NON_TROPICAL_TIER_B_INCLUSIONS</x:v>
      </x:c>
      <x:c r="W89" s="7" t="str">
        <x:v>TBV1-0150</x:v>
      </x:c>
    </x:row>
    <x:row r="90" ht="42" customHeight="1">
      <x:c r="A90" s="14" t="str">
        <x:v>B</x:v>
      </x:c>
      <x:c r="B90" s="7" t="str">
        <x:v>CWC-92D16A3D3E94</x:v>
      </x:c>
      <x:c r="C90" s="7" t="str">
        <x:v>Late Holocene calcium carbonate accumulation in a cold-water coral mound in the northern Bay of Biscay.</x:v>
      </x:c>
      <x:c r="D90" s="7" t="str">
        <x:v>Evan Edinger | Jean‐François Bourillet | Lénàïck Menot</x:v>
      </x:c>
      <x:c r="E90" s="11" t="str">
        <x:v>2024</x:v>
      </x:c>
      <x:c r="F90" s="7" t="str"/>
      <x:c r="G90" s="7" t="str">
        <x:v>conference-abstract</x:v>
      </x:c>
      <x:c r="H90" s="7" t="str">
        <x:v>10.5194/egusphere-egu24-4078</x:v>
      </x:c>
      <x:c r="I90" s="7" t="str">
        <x:v>https://doi.org/10.5194/egusphere-egu24-4078</x:v>
      </x:c>
      <x:c r="J90" s="7" t="str">
        <x:v>Cold-water coral reefs and communities can be locally important calcium carbonate factories in continental shelf and slope environments.&amp;#160; Cold-water coral mounds dominated by Desmophyllum pertusum (=Lophelia pertusa) occur within Bay of Biscay submarine canyons.&amp;#160; Here we present a late Holocene record of coral carbonate accumulation through a colonial scleractinian coral mound in the 750-850 m depth range in Guilvinec Canyon, northern Bay of Biscay.&amp;#160; Guilvinec Canyon, like most submarine canyons of the Bay of Biscay, is a dominantly siliciclastic sandy environment, with occasional coral gardens.&amp;#160; Maximum live coral cover in the area surveyed in Guilvinec Canyon was about 9%, measured close to the site of the sediment core analyzed.A 2011 sediment core through the mound recovered 1.18 m of sediment, consisting of mostly siliciclastic silty sand and coral gravel, strongly dominated by Lophelia pertusa fragments.&amp;#160;&amp;#160; In addition to standard geophysical, grain size, and mineralogical analyses, the core was analyzed by CT-scan.&amp;#160; The number of coral calices visible per cm3 was counted, and the core was subsampled for coral calice abundance and mass in 5 mm increments, calculating the number of calices and mass of coral carbonate skeletons per cm3 subsample.&amp;#160; An age model from previous 14C and U/Th ages of coral fragments in the core yielded a long-term average coral carbonate accretion rate of 78 g CaCO3 m-2 y-1 over the past ~2150 y, divided into two phases: 40.8 g CaCO3 m-2 y-1 (from core-bottom to -59 cm, approximately 685 ybp), and 156.2 g CaCO3 m-2 y-1 in the upper half of the core. Coarse coral-dominated gravel in the core-catcher contained coral fragments approximately 7 ka in age, indicating a long hiatus before the renewal of coral growth at this site.&amp;#160; Aragonite % in the fine sediment was not correlated with coral abundance in the core.&amp;#160; A second core recovered nearby was composed of siliciclastic silty sand, but contained almost no coral fragments.&amp;#160; The large variation between the two cores indicates high levels of local heterogeneity in sediment accumulation patterns, apparently much greater than the variation in live coral cover at the surface.Coral carbonate accumulation rates in Guilvinec Canyon were 1-2 orders of magnitude lower than coral carbonate accumulation estimates from Lophelia pertusa reefs on the Norwegian Margin. Nonetheless, coral carbonate accumulation rates in the core were an order of magnitude higher than Recent coral carbonate production rates based on ROV-video estimates of coral biomass and published growth rates.&amp;#160; This difference may be attributable to time-averaging, local heterogeneity, changes in sedimentation or current regime, or to late-20th century decline in coral abundance resulting from a variety of anthropogenic pressures.&amp;#160; Recent threats to Bay of Biscay cold-water coral reefs include increased sediment mobilization from bottom trawling near the heads of submarine canyons, rising seawater temperatures, and declining aragonite saturation.&amp;#160; New field and lab experiments on coral growth rates and skeletal degradation may help to disentangle anthropogenic pressures and project the fate of Bay of Biscay cold-water coral reefs in the face of climate change and ocean acidification.</x:v>
      </x:c>
      <x:c r="K90" s="11" t="str">
        <x:v>NO</x:v>
      </x:c>
      <x:c r="L90" s="7" t="str">
        <x:v>NOT_CONFIRMED</x:v>
      </x:c>
      <x:c r="M90" s="7" t="str"/>
      <x:c r="N90" s="7" t="str">
        <x:v>VERIFIED_DOI_DOCUMENT</x:v>
      </x:c>
      <x:c r="O90" s="7" t="str">
        <x:v>B01_DEEP_COLD_SEDIMENT_EVIDENCE</x:v>
      </x:c>
      <x:c r="P90" s="11" t="str">
        <x:v>HIGH</x:v>
      </x:c>
      <x:c r="Q90" s="7" t="str">
        <x:v>Cold-water coral Desmophyllum pertusum (=Lophelia pertusa) in Guilvinec Canyon, Bay of Biscay.</x:v>
      </x:c>
      <x:c r="R90" s="7" t="str">
        <x:v>Siliciclastic sedimentary environment; changes in sedimentation; increased sediment mobilization from bottom trawling.</x:v>
      </x:c>
      <x:c r="S90" s="7" t="str">
        <x:v>Coral carbonate accumulation rates (g CaCO3 m-2 y-1), live coral cover estimates, and sediment-core comparisons showing local heterogeneity; potential impacts of sediment mobilization discussed.</x:v>
      </x:c>
      <x:c r="T90" s="7" t="str">
        <x:v>B01: Deep-sea cold-water coral source with explicit sediment pathway (sediment accumulation, changes in sedimentation, trawling-induced sediment mobilization) and ecological/condition evidence (carbonate accumulation, coral cover).</x:v>
      </x:c>
      <x:c r="U90" s="7" t="str">
        <x:v>This conference abstract reports on a cold-water coral mound dominated by Desmophyllum pertusum. It directly addresses sediment accumulation patterns in a siliciclastic environment, noting high local heterogeneity and discussing increased sediment mobilization from bottom trawling as a threat. The record provides quantitative data on carbonate accumulation rates and coral cover, offering biological/ecological evidence relevant to sediment effects. This fits B01 as deep/cold sediment evidence, even though the response is indirect. It is not merely physical sedimentology or habitat mapping, as it includes biological metrics. The alternative CHAIN_ONLY would be inappropriate because the abstract itself contains substantive coral-sediment relevant evidence. Confidence is high given the explicit combination of organism, sediment pathway, and response indicators.</x:v>
      </x:c>
      <x:c r="V90" s="7" t="str">
        <x:v>ALL_VERIFIED_NON_TROPICAL_TIER_B_INCLUSIONS</x:v>
      </x:c>
      <x:c r="W90" s="7" t="str">
        <x:v>TBV1-0040</x:v>
      </x:c>
    </x:row>
    <x:row r="91" ht="42" customHeight="1">
      <x:c r="A91" s="14" t="str">
        <x:v>B</x:v>
      </x:c>
      <x:c r="B91" s="7" t="str">
        <x:v>CWC-75A54516656C</x:v>
      </x:c>
      <x:c r="C91" s="7" t="str">
        <x:v>Long-term observations of a sponge in situ reveal a rich repertoire of contractile behaviors, including winter dormancy</x:v>
      </x:c>
      <x:c r="D91" s="7" t="str">
        <x:v>DE Harrison | MS Diluvio | Eugueni Matveev | PVF Corrêa | FC De Leo | Sally P. Leys</x:v>
      </x:c>
      <x:c r="E91" s="11" t="str">
        <x:v>2024</x:v>
      </x:c>
      <x:c r="F91" s="7" t="str">
        <x:v>Marine Ecology Progress Series</x:v>
      </x:c>
      <x:c r="G91" s="7" t="str">
        <x:v>article</x:v>
      </x:c>
      <x:c r="H91" s="7" t="str">
        <x:v>10.3354/meps14694</x:v>
      </x:c>
      <x:c r="I91" s="7" t="str">
        <x:v>https://doi.org/10.3354/meps14694</x:v>
      </x:c>
      <x:c r="J91" s="7" t="str">
        <x:v>Sponges are remarkably active animals with a range of behaviors that are broadly termed sneezes. Little is known about what triggers sneezes or how sneezes propagate in an animal that lacks either muscular or nervous systems. We explored the triggers of sponge behavior in situ in the demosponge Suberites concinnus . The placement of this tennis ball-sized sponge at the focal point of a camera array on an instrument platform in Barkley Sound, BC, Canada, provided a unique opportunity for our investigation. The observatory has a suite of environmental sensors measuring parameters such as photosynthetically active radiation (PAR), oxygen, turbidity, salinity, pressure, current speed, and temperature. An array of 8 cameras designed for 3D imaging was used to capture hourly images. Our findings revealed both long-term (annual) and short-term (daily) behaviors in S. concinnus . The sponge contracted for 2 mo each winter. In February, it gradually expanded and became very active with short-term full-body contractions each lasting 11 h through the summer. A meta-analysis of contraction behaviors in other species of sponge showed that contraction duration is a factor of sponge size and that all sponges contract faster than they expand. Invertebrates and fish were frequently in contact with the sponge, but no single interaction was found to correlate with patterns of sponge behavior. However, significant correlations between sponge behaviors and chlorophyll and turbidity were found using generalized additive mixed models. Our study underscores the dynamic nature of these sessile filter feeders and their responses to their environment.</x:v>
      </x:c>
      <x:c r="K91" s="11" t="str">
        <x:v>NO</x:v>
      </x:c>
      <x:c r="L91" s="7" t="str">
        <x:v>NOT_CONFIRMED</x:v>
      </x:c>
      <x:c r="M91" s="7" t="str"/>
      <x:c r="N91" s="7" t="str">
        <x:v>VERIFIED_DOI_DOCUMENT</x:v>
      </x:c>
      <x:c r="O91" s="7" t="str">
        <x:v>B01_DEEP_COLD_SEDIMENT_EVIDENCE</x:v>
      </x:c>
      <x:c r="P91" s="11" t="str">
        <x:v>HIGH</x:v>
      </x:c>
      <x:c r="Q91" s="7" t="str">
        <x:v>Demosponge Suberites concinnus studied in situ in Barkley Sound, BC, Canada; meta-analysis includes other sponge species.</x:v>
      </x:c>
      <x:c r="R91" s="7" t="str">
        <x:v>Turbidity (suspended sediment proxy) measured by environmental sensors; also chlorophyll, but turbidity is the sediment-related pathway.</x:v>
      </x:c>
      <x:c r="S91" s="7" t="str">
        <x:v>Sponge contractile behaviors including winter dormancy and daily full-body contractions; significant correlations with turbidity using generalized additive mixed models.</x:v>
      </x:c>
      <x:c r="T91" s="7" t="str">
        <x:v>The study provides evidence of a cold-water/temperate sponge responding to turbidity, a sediment pathway, making it eligible under B01 for deep/cold sediment evidence.</x:v>
      </x:c>
      <x:c r="U91" s="7" t="str">
        <x:v>This article investigates behavioral responses of the sponge Suberites concinnus in Barkley Sound, Canada. Environmental sensors measured turbidity, a suspended-sediment pathway, and the authors found significant correlations between sponge contraction behaviors (including winter dormancy) and turbidity using GAMMs. The organism is a cold-water/temperate sponge, and the study provides direct evidence of behavioral response linked to turbidity. This fits B01 (deep/cold sediment evidence) because it involves a cold-water sponge with an explicit turbidity pathway and biological response, even though not a controlled experiment. The closest alternative B03 was considered, but that requires direct testing of a sediment-related exposure; this is observational, making B01 more appropriate. Exclusions for no coral/sponge or no sediment pathway do not apply.</x:v>
      </x:c>
      <x:c r="V91" s="7" t="str">
        <x:v>ALL_VERIFIED_CENTRAL_PEER_REVIEWED</x:v>
      </x:c>
      <x:c r="W91" s="7" t="str">
        <x:v>TBV1-0286</x:v>
      </x:c>
    </x:row>
    <x:row r="92" ht="42" customHeight="1">
      <x:c r="A92" s="14" t="str">
        <x:v>B</x:v>
      </x:c>
      <x:c r="B92" s="7" t="str">
        <x:v>CWC-4CCE82DDB3F6</x:v>
      </x:c>
      <x:c r="C92" s="7" t="str">
        <x:v>Mapping and Conservation of Cold-Water Corals in the Lacaze-Duthiers Canyon for Transboundary Management</x:v>
      </x:c>
      <x:c r="D92" s="7" t="str">
        <x:v>Marie-Claire Fabri | JEANNE DREIDEMY | Claude Estournel | Sandrine Vaz | Noëmie Michez | Pere Puig | Franck Lartaud</x:v>
      </x:c>
      <x:c r="E92" s="11" t="str">
        <x:v>2025</x:v>
      </x:c>
      <x:c r="F92" s="7" t="str">
        <x:v>Mediterranean Marine Science</x:v>
      </x:c>
      <x:c r="G92" s="7" t="str">
        <x:v>article</x:v>
      </x:c>
      <x:c r="H92" s="7" t="str">
        <x:v>10.12681/mms.40914</x:v>
      </x:c>
      <x:c r="I92" s="7" t="str">
        <x:v>https://doi.org/10.12681/mms.40914</x:v>
      </x:c>
      <x:c r="J92" s="7" t="str">
        <x:v>Cold-water coral habitats (Madrepora oculata and Desmophyllum pertusum) were mapped in the Lacaze-Duthiers Canyon, within the “Parc naturel marin du golfe du Lion” (northwestern Mediterranean), to support the creation of a strongly protected area for these vulnerable marine ecosystems (VME). The analyses are based on ROV data, high-resolution digital terrain models (5–10 m), hydrodynamic model simulations (currents, temperature, salinity from SYMPHONIE), and fishing pressure data derived from Vessel Monitoring System (VMS) and Automatic Identification System (AIS) fishing data. Habitat models indicate coral habitats are mainly on the western canyon flank (250 to 600 m depth). Desmophyllum pertusum predominantly colonizes gentle slopes at cliff bases, while M. oculata is found on steeper slopes, and the eastern flank. Some western flank areas support both species. Direct impacts from fishing activities, including lost longlines and nets entangled with corals, were observed. In addition, bottom trawling at the continental shelf edge induces sediment resuspension, potentially smothering the underlying coral ecosystems in the canyon. This study recommends enhancing fishing activity monitoring by increasing VMS positioning transmission frequency across European countries and facilitating the combination of VMS and AIS data to derive higher-resolution fishing effort and footprint assessments. Protection should prioritize canyon flanks and the surrounding continental shelf, not just the canyon itself, to mitigate fishing pressure. Tailored management measures are needed for sensitive habitats. Creating a strongly protected area will require crossborder cooperation (France, Spain) to ensure the effective conservation of these fragile ecosystems.</x:v>
      </x:c>
      <x:c r="K92" s="11" t="str">
        <x:v>YES</x:v>
      </x:c>
      <x:c r="L92" s="7" t="str">
        <x:v>FROZEN_PUBLIC_FULL_TEXT_LOCATION</x:v>
      </x:c>
      <x:c r="M92" s="7" t="str">
        <x:v>https://ejournals.epublishing.ekt.gr/index.php/hcmr-med-mar-sc/article/download/40914/30615</x:v>
      </x:c>
      <x:c r="N92" s="7" t="str">
        <x:v>VERIFIED_DOI_DOCUMENT</x:v>
      </x:c>
      <x:c r="O92" s="7" t="str">
        <x:v>B01_DEEP_COLD_SEDIMENT_EVIDENCE</x:v>
      </x:c>
      <x:c r="P92" s="11" t="str">
        <x:v>HIGH</x:v>
      </x:c>
      <x:c r="Q92" s="7" t="str">
        <x:v>Cold-water corals Madrepora oculata and Desmophyllum pertusum mapped in Lacaze-Duthiers Canyon.</x:v>
      </x:c>
      <x:c r="R92" s="7" t="str">
        <x:v>Sediment resuspension from bottom trawling at the continental shelf edge, potentially smothering coral ecosystems; also direct fishing gear entanglement.</x:v>
      </x:c>
      <x:c r="S92" s="7" t="str">
        <x:v>Habitat mapping and conservation assessment; observed fishing impacts including lost longlines and nets entangled with corals; potential smothering of coral habitats by trawl-induced sediment resuspension; management and protection recommendations.</x:v>
      </x:c>
      <x:c r="T92" s="7" t="str">
        <x:v>Deep/cold-water coral study with explicit sediment pathway (trawling-induced resuspension/smothering) and impact/management assessment for coral habitats.</x:v>
      </x:c>
      <x:c r="U92" s="7" t="str">
        <x:v>The record describes a mapping and conservation assessment of cold-water coral habitats (Madrepora oculata and Desmophyllum pertusum) in Lacaze-Duthiers Canyon. It explicitly identifies bottom trawling-induced sediment resuspension on the continental shelf edge as a potential smothering threat to underlying coral ecosystems, and reports direct fishing impacts such as entangled lost gear. This provides organism-specific deep/cold coral evidence tied to a sediment-related pathway (resuspension/smothering) and associated impact/management assessment, meeting B01_DEEP_COLD_SEDIMENT_EVIDENCE. The closest alternative would be B02, but the sediment pathway is explicitly linked to impacts in the abstract, making B01 more precise. Exclusion is not warranted because the sediment pathway is relevant to the conservation rationale and includes observed and potential ecological effects.</x:v>
      </x:c>
      <x:c r="V92" s="7" t="str">
        <x:v>ALL_VERIFIED_CENTRAL_PEER_REVIEWED</x:v>
      </x:c>
      <x:c r="W92" s="7" t="str">
        <x:v>TBV1-0083</x:v>
      </x:c>
    </x:row>
    <x:row r="93" ht="42" customHeight="1">
      <x:c r="A93" s="14" t="str">
        <x:v>B</x:v>
      </x:c>
      <x:c r="B93" s="7" t="str">
        <x:v>CWC-DEC36A45162C</x:v>
      </x:c>
      <x:c r="C93" s="7" t="str">
        <x:v>Mechanisms of damage to corals exposed to sedimentation</x:v>
      </x:c>
      <x:c r="D93" s="7" t="str">
        <x:v>Miriam Weber | Dirk de Beer | Christian Lott | Lùbos Polerecký | Katharina Kohls | Raeid M. M. Abed | Timothy G. Ferdelman | Katharina Fabricius</x:v>
      </x:c>
      <x:c r="E93" s="11" t="str">
        <x:v>2012</x:v>
      </x:c>
      <x:c r="F93" s="7" t="str">
        <x:v>Proceedings of the National Academy of Sciences</x:v>
      </x:c>
      <x:c r="G93" s="7" t="str">
        <x:v>article</x:v>
      </x:c>
      <x:c r="H93" s="7" t="str">
        <x:v>10.1073/pnas.1100715109</x:v>
      </x:c>
      <x:c r="I93" s="7" t="str">
        <x:v>https://doi.org/10.1073/pnas.1100715109</x:v>
      </x:c>
      <x:c r="J93" s="7" t="str">
        <x:v>We investigated the mechanisms leading to rapid death of corals when exposed to runoff and resuspended sediments, postulating that the killing was microbially mediated. Microsensor measurements were conducted in mesocosm experiments and in naturally accumulated sediment on corals. In organic-rich, but not in organic-poor sediment, pH and oxygen started to decrease as soon as the sediment accumulated on the coral. Organic-rich sediments caused tissue degradation within 1 d, whereas organic-poor sediments had no effect after 6 d. In the harmful organic-rich sediment, hydrogen sulfide concentrations were low initially but increased progressively because of the degradation of coral mucus and dead tissue. Dark incubations of corals showed that separate exposures to darkness, anoxia, and low pH did not cause mortality within 4 d. However, the combination of anoxia and low pH led to colony death within 24 h. When hydrogen sulfide was added after 12 h of anoxia and low pH, colonies died after an additional 3 h. We suggest that sedimentation kills corals through microbial processes triggered by the organic matter in the sediments, namely respiration and presumably fermentation and desulfurylation of products from tissue degradation. First, increased microbial respiration results in reduced O(2) and pH, initiating tissue degradation. Subsequently, the hydrogen sulfide formed by bacterial decomposition of coral tissue and mucus diffuses to the neighboring tissues, accelerating the spread of colony mortality. Our data suggest that the organic enrichment of coastal sediments is a key process in the degradation of coral reefs exposed to terrestrial runoff.</x:v>
      </x:c>
      <x:c r="K93" s="11" t="str">
        <x:v>YES</x:v>
      </x:c>
      <x:c r="L93" s="7" t="str">
        <x:v>FROZEN_PUBLIC_FULL_TEXT_LOCATION</x:v>
      </x:c>
      <x:c r="M93" s="7" t="str">
        <x:v>https://www.pnas.org/content/pnas/109/24/E1558.full.pdf</x:v>
      </x:c>
      <x:c r="N93" s="7" t="str">
        <x:v>VERIFIED_DOI_DOCUMENT</x:v>
      </x:c>
      <x:c r="O93" s="7" t="str">
        <x:v>B04_TROPICAL_PHYSICAL_SEDIMENT_ANALOGUE</x:v>
      </x:c>
      <x:c r="P93" s="11" t="str">
        <x:v>HIGH</x:v>
      </x:c>
      <x:c r="Q93" s="7" t="str">
        <x:v>Tropical corals (coral colonies) exposed to simulated runoff and resuspended sediments.</x:v>
      </x:c>
      <x:c r="R93" s="7" t="str">
        <x:v>Sedimentation with organic-rich and organic-poor sediments; anoxia, low pH, hydrogen sulfide; terrestrial runoff.</x:v>
      </x:c>
      <x:c r="S93" s="7" t="str">
        <x:v>Rapid tissue degradation and colony mortality with organic-rich sediment; no effect with organic-poor sediment; death within 24 h under combined anoxia and low pH, faster when sulfide added.</x:v>
      </x:c>
      <x:c r="T93" s="7" t="str">
        <x:v>Direct experimental mesocosm testing of sediment exposure on tropical corals with clear mortality and tissue-degradation responses; fits B04 tropical physical sediment analogue.</x:v>
      </x:c>
      <x:c r="U93" s="7" t="str">
        <x:v>This article experimentally tests sedimentation on tropical corals in mesocosms, directly satisfying B04 (tropical physical sediment analogue) by measuring mortality and tissue degradation in response to organic-rich versus organic-poor sediments. The stressor pathway is explicit (sediment accumulation, anoxia, low pH, sulfide), and responses are clearly biological. The closest alternative would be B01 if the corals were deep-sea/cold-water, but the abstract references coral reefs and terrestrial runoff, indicating tropical/warm-water settings. B03 is not applicable because the organisms are tropical rather than temperate/polar/mesophotic. The document is a substantive primary research article, and the abstract contains sufficient evidence for inclusion.</x:v>
      </x:c>
      <x:c r="V93" s="7" t="str">
        <x:v>SPARING_TOP_25_TROPICAL_DIRECT_PHYSICAL_ANALOGUES</x:v>
      </x:c>
      <x:c r="W93" s="7" t="str">
        <x:v>TBV1-1034</x:v>
      </x:c>
    </x:row>
    <x:row r="94" ht="42" customHeight="1">
      <x:c r="A94" s="14" t="str">
        <x:v>B</x:v>
      </x:c>
      <x:c r="B94" s="7" t="str">
        <x:v>CWC-1232E9ACE3BB</x:v>
      </x:c>
      <x:c r="C94" s="7" t="str">
        <x:v>Metabolic responses of a phototrophic sponge to sedimentation supports transitions to sponge-dominated reefs</x:v>
      </x:c>
      <x:c r="D94" s="7" t="str">
        <x:v>Andrew Biggerstaff | David J. Smith | Jamaluddin Jompa | James J. Bell</x:v>
      </x:c>
      <x:c r="E94" s="11" t="str">
        <x:v>2017</x:v>
      </x:c>
      <x:c r="F94" s="7" t="str">
        <x:v>Scientific Reports</x:v>
      </x:c>
      <x:c r="G94" s="7" t="str">
        <x:v>article</x:v>
      </x:c>
      <x:c r="H94" s="7" t="str">
        <x:v>10.1038/s41598-017-03018-y</x:v>
      </x:c>
      <x:c r="I94" s="7" t="str">
        <x:v>https://doi.org/10.1038/s41598-017-03018-y</x:v>
      </x:c>
      <x:c r="J94" s="7" t="str">
        <x:v>Declines in coral abundance have been linked to increased sedimentation at many locations across the world and at some of these locations there have been subsequent increases in sponge abundance. These shifts appear counterintuitive as sponges are suspension feeders and many rely on photosymbionts for carbon. At a sedimented reef in Indonesia (Wakatobi) corals have declined and the photoautotrophic sponge Lamellodysidea herbacea is now abundant. We hypothesise that this is partly due to L. herbacea's ability to clear its tissues of high levels of settled-sediment and compensate for associated metabolic demands by altering its respiration rate. Negligible detrimental effects to sponge tissue were observed after treatments up to five times the sedimentation rate of the highly sedimented reef. Rapid sediment clearance occurred that was potentially aided by mucus production. Finally, high sediment exposure caused an immediate reduction in respiration rate, likely due to reduced pumping to prevent clogging, whereas sustained high sedimentation caused an increase in respiration rate, potentially due to the energetic cost of mucus production. Our study provides evidence that some sponges can tolerate environments that appear unsuitable to many corals and with increased sedimentation this acclimation may support further transitions to sponge dominated reefs in the future.</x:v>
      </x:c>
      <x:c r="K94" s="11" t="str">
        <x:v>YES</x:v>
      </x:c>
      <x:c r="L94" s="7" t="str">
        <x:v>FROZEN_PUBLIC_FULL_TEXT_LOCATION</x:v>
      </x:c>
      <x:c r="M94" s="7" t="str">
        <x:v>https://www.nature.com/articles/s41598-017-03018-y.pdf</x:v>
      </x:c>
      <x:c r="N94" s="7" t="str">
        <x:v>VERIFIED_DOI_DOCUMENT</x:v>
      </x:c>
      <x:c r="O94" s="7" t="str">
        <x:v>B04_TROPICAL_PHYSICAL_SEDIMENT_ANALOGUE</x:v>
      </x:c>
      <x:c r="P94" s="11" t="str">
        <x:v>HIGH</x:v>
      </x:c>
      <x:c r="Q94" s="7" t="str">
        <x:v>Phototrophic sponge Lamellodysidea herbacea from a sedimented tropical reef (Wakatobi, Indonesia); coral-to-sponge community shift context.</x:v>
      </x:c>
      <x:c r="R94" s="7" t="str">
        <x:v>Controlled sedimentation treatments up to five times the sedimentation rate of a highly sedimented reef; settled sediment, sediment clearance, mucus production, and clogging-related pump reduction.</x:v>
      </x:c>
      <x:c r="S94" s="7" t="str">
        <x:v>Tissue condition, rapid sediment clearance, mucus production, immediate respiration rate reduction, sustained high sedimentation respiration increase, negligible detrimental tissue effects, and inferred acclimation supporting sponge dominance.</x:v>
      </x:c>
      <x:c r="T94" s="7" t="str">
        <x:v>Tropical sponge study directly experimentally testing physical sediment exposure (sedimentation) and reporting clearly relevant biological responses (clearance, respiration, mucus production, tissue effects), meeting B04.</x:v>
      </x:c>
      <x:c r="U94" s="7" t="str">
        <x:v>This article directly tests the effect of sedimentation on a tropical sponge (Lamellodysidea herbacea) and reports multiple relevant responses: efficient sediment clearance, mucus production, altered respiration, and negligible tissue damage. The stressor is explicitly physical sediment exposure, and the response is biological and condition-related. This meets the B04 tropical physical sediment analogue pathway. The closest alternative would be exclusion for lack of coral evidence, but sponge evidence is explicitly in scope. Another alternative is B03, but the study is tropical, not non-tropical. The abstract contains sufficient detail for a high-confidence inclusion.</x:v>
      </x:c>
      <x:c r="V94" s="7" t="str">
        <x:v>SPARING_TOP_25_TROPICAL_DIRECT_PHYSICAL_ANALOGUES</x:v>
      </x:c>
      <x:c r="W94" s="7" t="str">
        <x:v>TBV1-1174</x:v>
      </x:c>
    </x:row>
    <x:row r="95" ht="42" customHeight="1">
      <x:c r="A95" s="14" t="str">
        <x:v>B</x:v>
      </x:c>
      <x:c r="B95" s="7" t="str">
        <x:v>CWC-D33D3419276D</x:v>
      </x:c>
      <x:c r="C95" s="7" t="str">
        <x:v>Modelling the Dispersion of Seafloor Massive Sulphide Mining Plumes in the Mid Atlantic Ridge Around the Azores</x:v>
      </x:c>
      <x:c r="D95" s="7" t="str">
        <x:v>Telmo Morato | Manuela Juliano | Christopher K. Pham | Marina Carreiro‐Silva | Inês Martins | Ana Colaço</x:v>
      </x:c>
      <x:c r="E95" s="11" t="str">
        <x:v>2022</x:v>
      </x:c>
      <x:c r="F95" s="7" t="str">
        <x:v>Frontiers in Marine Science</x:v>
      </x:c>
      <x:c r="G95" s="7" t="str">
        <x:v>article</x:v>
      </x:c>
      <x:c r="H95" s="7" t="str">
        <x:v>10.3389/fmars.2022.910940</x:v>
      </x:c>
      <x:c r="I95" s="7" t="str">
        <x:v>https://doi.org/10.3389/fmars.2022.910940</x:v>
      </x:c>
      <x:c r="J95" s="7" t="str">
        <x:v>It is increasingly recognised that deep-sea mining of seafloor massive sulphides (SMS) could become an important source of mineral resources. These operations will remove the targeted substrate and produce potentially toxic plumes from in situ seabed excavation and from the return water pumped back down to the seafloor. However, the spatial extent of the impact of deep-sea mining is still uncertain because few field experiments and models of plume dispersion have been conducted. In this study, we used three-dimensional hydrodynamic models of the Azores region together with a theoretical commercial mining operation of polymetallic SMS to simulate the potential dispersal of plumes originating from different phases of mining operations, and to assess the magnitude of potential impacts. Although the model simulations presented here were subject to many caveats, they did reveal some important patterns. The model projected marked differences among sites making generalisations about plume-dispersal patterns in mid-ocean ridges difficult. Nevertheless, the models predicted large horizontal and vertical plume-dispersals above the thresholds adopted. Persistent plumes (temporal frequency &amp;gt;50%, i.e., 6 months out of 12 months) were projected to disperse an average linear distance of 10 to 20 km, cover an area of 17 to 150 km2, and extend more than 800 m in the water column. In fact, the model projected that plumes may disperse beyond the licensed mining areas, reach the flanks and summits of nearby topographic features, and extend into the bathypelagic, mesopelagic, and epipelagic environments. Modelled plume-dispersal overlaps with the predicted distribution of cold-water corals and with existing fishing activities. These potential impacts would be of particular concern in regions such as the Azores, where local populations are highly dependent on the sea for their livelihoods. The findings of this study are an important initial step towards understanding the nature and magnitude of deep-sea mining impacts in space and time.</x:v>
      </x:c>
      <x:c r="K95" s="11" t="str">
        <x:v>YES</x:v>
      </x:c>
      <x:c r="L95" s="7" t="str">
        <x:v>FROZEN_PUBLIC_FULL_TEXT_LOCATION</x:v>
      </x:c>
      <x:c r="M95" s="7" t="str">
        <x:v>https://www.frontiersin.org/articles/10.3389/fmars.2022.910940/pdf</x:v>
      </x:c>
      <x:c r="N95" s="7" t="str">
        <x:v>VERIFIED_DOI_DOCUMENT</x:v>
      </x:c>
      <x:c r="O95" s="7" t="str">
        <x:v>B01_DEEP_COLD_SEDIMENT_EVIDENCE</x:v>
      </x:c>
      <x:c r="P95" s="11" t="str">
        <x:v>HIGH</x:v>
      </x:c>
      <x:c r="Q95" s="7" t="str">
        <x:v>Cold-water corals (predicted distribution mentioned)</x:v>
      </x:c>
      <x:c r="R95" s="7" t="str">
        <x:v>Deep-sea mining plumes from seafloor massive sulphide excavation and return water, involving suspended particles and potential deposition/dispersal</x:v>
      </x:c>
      <x:c r="S95" s="7" t="str">
        <x:v>Modelled plume dispersal overlaps with predicted cold-water coral distribution; assesses magnitude of potential impacts on these corals</x:v>
      </x:c>
      <x:c r="T95" s="7" t="str">
        <x:v>B01_DEEP_COLD_SEDIMENT_EVIDENCE: Deep-sea/cold-water coral source with explicit sediment/plume pathway and impact evidence via overlap of modelled plumes with coral distribution.</x:v>
      </x:c>
      <x:c r="U95" s="7" t="str">
        <x:v>This record models the dispersion of deep-sea mining plumes (a sediment/suspended-particle pathway) and explicitly assesses overlap with predicted cold-water coral distribution, providing indirect impact evidence. It meets Tier B pathway B01, as it concerns a deep/cold coral source with a sediment-related stressor and ecological impact assessment, even though the response is modelled rather than measured. It is preferable to B02 because it is a modelling study rather than a review/assessment report, though it also has assessment qualities. Exclusion reasons do not apply: it is not merely physical plume modelling because it links to coral distribution and potential impacts. It is a substantive article, not a discovery webpage.</x:v>
      </x:c>
      <x:c r="V95" s="7" t="str">
        <x:v>ALL_VERIFIED_CENTRAL_PEER_REVIEWED</x:v>
      </x:c>
      <x:c r="W95" s="7" t="str">
        <x:v>TBV1-0122</x:v>
      </x:c>
    </x:row>
    <x:row r="96" ht="42" customHeight="1">
      <x:c r="A96" s="14" t="str">
        <x:v>B</x:v>
      </x:c>
      <x:c r="B96" s="7" t="str">
        <x:v>CWC-C0316A6DD2D3</x:v>
      </x:c>
      <x:c r="C96" s="7" t="str">
        <x:v>Molecular and functional bases of coordination in early branching metazoans – insights from physiology and investigations of potassium channels in the Porifera</x:v>
      </x:c>
      <x:c r="D96" s="7" t="str">
        <x:v>Tompkins MacDonald</x:v>
      </x:c>
      <x:c r="E96" s="11" t="str">
        <x:v>2010</x:v>
      </x:c>
      <x:c r="F96" s="7" t="str">
        <x:v>University of Alberta Library</x:v>
      </x:c>
      <x:c r="G96" s="7" t="str">
        <x:v>dissertation</x:v>
      </x:c>
      <x:c r="H96" s="7" t="str">
        <x:v>10.7939/r34q4v</x:v>
      </x:c>
      <x:c r="I96" s="7" t="str">
        <x:v>https://doi.org/10.7939/r34q4v</x:v>
      </x:c>
      <x:c r="J96" s="7" t="str">
        <x:v>Sponges are filter feeders that lack nerves and muscle but are nonetheless able to respond to changes in the ambient environment to control their feeding current. Cellular sponges undergo coordinated contractions that effectively expel debris. Syncytial sponges propagate action potentials through their tissue, causing immediate flagellar arrest. Understanding the basis of this coordination in sponges is of interest for the insight it provides on mechanisms of coordination in early branching animals. However, when I began this thesis no ion channels had been described from the Porifera. I adopted a multifaceted approach to studying the conduction system of sponges. This included cloning and characterizing potassium channels as a means to understanding the underlying ionic currents, and monitoring regulation of the sponge feeding current in response to environmental stimuli. The latter experiments provided a functional context. The glass sponges Rhabdocalyptus dawsoni and Aphrocallistes vastus arrest feeding in response to mechanical disturbance and to sediment in the incurrent water – suggesting a protective role. Monitoring patterns of feeding current arrests also revealed several features of the glass sponge conduction system: pacemaker activity, mechanosensitivity, distinct excitability thresholds, and tolerance to repeated stimuli. With access to the genome of the demosponge Amphimedon queenslandica I have also cloned and characterized the first sponge ion channels. Inward rectifier potassium (Kir) channels were prioritized for their role in regulating excitability. Kir channels cloned from A. queenslandica shared critical residues and a strong rectifying phenotype with Kir channels typically expressed in excitable cells. A variety of potassium channels from A. queenslandica indicate great diversity and a foundation for coordination at the dawn of the Metazoa</x:v>
      </x:c>
      <x:c r="K96" s="11" t="str">
        <x:v>NO</x:v>
      </x:c>
      <x:c r="L96" s="7" t="str">
        <x:v>NOT_CONFIRMED</x:v>
      </x:c>
      <x:c r="M96" s="7" t="str"/>
      <x:c r="N96" s="7" t="str">
        <x:v>VERIFIED_DOI_DOCUMENT</x:v>
      </x:c>
      <x:c r="O96" s="7" t="str">
        <x:v>B01_DEEP_COLD_SEDIMENT_EVIDENCE</x:v>
      </x:c>
      <x:c r="P96" s="11" t="str">
        <x:v>HIGH</x:v>
      </x:c>
      <x:c r="Q96" s="7" t="str">
        <x:v>Sponges (Porifera), specifically the glass sponges Rhabdocalyptus dawsoni and Aphrocallistes vastus, and the demosponge Amphimedon queenslandica.</x:v>
      </x:c>
      <x:c r="R96" s="7" t="str">
        <x:v>Sediment in the incurrent water, as well as mechanical disturbance, causing feeding arrest.</x:v>
      </x:c>
      <x:c r="S96" s="7" t="str">
        <x:v>Feeding current arrest, coordinated contractions, and flagellar arrest; the thesis provides evidence that sediment exposure triggers a protective feeding arrest response and examines the physiological basis of coordination.</x:v>
      </x:c>
      <x:c r="T96" s="7" t="str">
        <x:v>This dissertation provides explicit biological evidence of a sediment-related pathway (sediment in incurrent water) causing a relevant response (feeding arrest) in cold-water/deep-sea glass sponges. It meets the B01 criterion for a deep/cold sponge source with an explicit sediment pathway and biological impact evidence.</x:v>
      </x:c>
      <x:c r="U96" s="7" t="str">
        <x:v>The abstract clearly identifies deep/cold-water glass sponges responding to sediment with feeding arrest, a biologically relevant response to a sediment stressor. This is a substantive doctoral dissertation, not a discovery page or non-substantive record. The closest alternative would be B03 (non-tropical direct mechanism), but B01 is more specific because the species are deep/cold-water sponges and the evidence is explicitly sediment-related. Exclusions do not apply, as coral/sponge evidence and sediment pathway are both present and clearly evaluated.</x:v>
      </x:c>
      <x:c r="V96" s="7" t="str">
        <x:v>ALL_VERIFIED_NON_TROPICAL_TIER_B_INCLUSIONS</x:v>
      </x:c>
      <x:c r="W96" s="7" t="str">
        <x:v>TBV1-0178</x:v>
      </x:c>
    </x:row>
    <x:row r="97" ht="42" customHeight="1">
      <x:c r="A97" s="14" t="str">
        <x:v>B</x:v>
      </x:c>
      <x:c r="B97" s="7" t="str">
        <x:v>SUPP-SSV3-008</x:v>
      </x:c>
      <x:c r="C97" s="7" t="str">
        <x:v>Monitoring of Drilling Activities in Areas with Presence of Cold Water Corals</x:v>
      </x:c>
      <x:c r="D97" s="7" t="str">
        <x:v>Det Norske Veritas</x:v>
      </x:c>
      <x:c r="E97" s="11" t="str">
        <x:v>2013</x:v>
      </x:c>
      <x:c r="F97" s="7" t="str">
        <x:v>Norsk Olje og Gass, Report 2012-1691 / 12NCQKD-2, Rev. 01</x:v>
      </x:c>
      <x:c r="G97" s="7" t="str">
        <x:v>industry guideline</x:v>
      </x:c>
      <x:c r="H97" s="7" t="str"/>
      <x:c r="I97" s="7" t="str">
        <x:v>https://www.offshorenorge.no/contentassets/13d5d06ec9464156b2272551f0740db0/monitoring-of-drilling-activities---areas-with-cold-water-corals.pdf</x:v>
      </x:c>
      <x:c r="J97" s="7" t="str">
        <x:v>Guideline for monitoring drilling around cold-water coral occurrences. It discusses drill-cutting deposition, particle exposure, coral-survey distances and condition categories, and mitigation/monitoring, but may rely on cited literature rather than report a new biological response study.</x:v>
      </x:c>
      <x:c r="K97" s="11" t="str">
        <x:v>YES</x:v>
      </x:c>
      <x:c r="L97" s="7" t="str">
        <x:v>PUBLIC_FULL_DOCUMENT_LOCATION</x:v>
      </x:c>
      <x:c r="M97" s="7" t="str">
        <x:v>https://www.offshorenorge.no/contentassets/13d5d06ec9464156b2272551f0740db0/monitoring-of-drilling-activities---areas-with-cold-water-corals.pdf</x:v>
      </x:c>
      <x:c r="N97" s="7" t="str">
        <x:v>VERIFIED_DIRECT_DOCUMENT_URL</x:v>
      </x:c>
      <x:c r="O97" s="7" t="str">
        <x:v>B02_DEEP_COLD_REVIEW_ASSESSMENT</x:v>
      </x:c>
      <x:c r="P97" s="11" t="str">
        <x:v>HIGH</x:v>
      </x:c>
      <x:c r="Q97" s="7" t="str">
        <x:v>Cold-water corals are the explicit target organism of the guideline.</x:v>
      </x:c>
      <x:c r="R97" s="7" t="str">
        <x:v>Drill-cutting deposition and particle exposure from drilling activities are explicitly discussed as stressors.</x:v>
      </x:c>
      <x:c r="S97" s="7" t="str">
        <x:v>Provides monitoring guidance, coral-survey distances, condition categories, and mitigation/monitoring approaches.</x:v>
      </x:c>
      <x:c r="T97" s="7" t="str">
        <x:v>Substantive industry guideline/report focused on monitoring drilling impacts on cold-water corals, directly relevant to sediment-impact assessment and mitigation.</x:v>
      </x:c>
      <x:c r="U97" s="7" t="str">
        <x:v>This document is an identifiable substantive industry guideline (DNV report) specifically addressing monitoring of drilling activities near cold-water corals. The abstract explicitly mentions drill-cutting deposition and particle exposure as sediment pathways, and discusses coral-survey distances, condition categories, and mitigation/monitoring. This meets B02_DEEP_COLD_REVIEW_ASSESSMENT because it is a substantive report with a direct sediment-impact focus and clear potential to inform effects, exposure, thresholds, vulnerability, mitigation, or recovery. It is not merely a search page or news item. The closest alternative would be CHAIN_ONLY, but it is not needed because the record itself has clear Tier B content.</x:v>
      </x:c>
      <x:c r="V97" s="7" t="str">
        <x:v>ALL_VERIFIED_NON_TROPICAL_TIER_B_INCLUSIONS</x:v>
      </x:c>
      <x:c r="W97" s="7" t="str">
        <x:v>TBV1-0406</x:v>
      </x:c>
    </x:row>
    <x:row r="98" ht="42" customHeight="1">
      <x:c r="A98" s="14" t="str">
        <x:v>B</x:v>
      </x:c>
      <x:c r="B98" s="7" t="str">
        <x:v>CWC-9BFC61A48726</x:v>
      </x:c>
      <x:c r="C98" s="7" t="str">
        <x:v>Monitoring strategies for drill cutting discharge in the vicinity of cold-water coral ecosystems</x:v>
      </x:c>
      <x:c r="D98" s="7" t="str">
        <x:v>Autun Purser | Laurenz Thomsen</x:v>
      </x:c>
      <x:c r="E98" s="11" t="str">
        <x:v>2012</x:v>
      </x:c>
      <x:c r="F98" s="7" t="str">
        <x:v>Marine Pollution Bulletin</x:v>
      </x:c>
      <x:c r="G98" s="7" t="str">
        <x:v>article</x:v>
      </x:c>
      <x:c r="H98" s="7" t="str">
        <x:v>10.1016/j.marpolbul.2012.08.003</x:v>
      </x:c>
      <x:c r="I98" s="7" t="str">
        <x:v>https://doi.org/10.1016/j.marpolbul.2012.08.003</x:v>
      </x:c>
      <x:c r="J98" s="7" t="str">
        <x:v>Cold-water coral reefs represent some of the most biodiverse and biomass rich ecosystems in the marine environment. Despite this, ecosystem functioning is still poorly understood and the susceptibility of key species to anthropogenic activities and pollutants is unknown. In European waters, cold-water corals are often found in greatest abundance on the continental margin, often in regions rich in hydrocarbon reserves. In this viewpoint paper we discuss some of the current strategies employed in predicting and minimizing exposure of cold-water coral reef ecosystems on the Norwegian margin to waste materials produced during offshore drilling operations by the oil and gas industry. In the light of recent in situ and experimental research conducted with the key reef species Lophelia pertusa, we present some possible improvements to these strategies which may be utilized by industry and managers to further reduce the likelihood of exposure. We further highlight important outstanding research questions in this field. (C) 2012 Elsevier Ltd. All rights reserved.</x:v>
      </x:c>
      <x:c r="K98" s="11" t="str">
        <x:v>NO</x:v>
      </x:c>
      <x:c r="L98" s="7" t="str">
        <x:v>NOT_CONFIRMED</x:v>
      </x:c>
      <x:c r="M98" s="7" t="str"/>
      <x:c r="N98" s="7" t="str">
        <x:v>VERIFIED_DOI_DOCUMENT</x:v>
      </x:c>
      <x:c r="O98" s="7" t="str">
        <x:v>B02_DEEP_COLD_REVIEW_ASSESSMENT</x:v>
      </x:c>
      <x:c r="P98" s="11" t="str">
        <x:v>HIGH</x:v>
      </x:c>
      <x:c r="Q98" s="7" t="str">
        <x:v>Cold-water coral Lophelia pertusa</x:v>
      </x:c>
      <x:c r="R98" s="7" t="str">
        <x:v>Drill cutting discharge, drilling waste materials, potential sediment exposure</x:v>
      </x:c>
      <x:c r="S98" s="7" t="str">
        <x:v>Monitoring strategies to predict/minimize exposure; discussion of recent in situ and experimental research; research questions on susceptibility</x:v>
      </x:c>
      <x:c r="T98" s="7" t="str">
        <x:v>A substantive viewpoint/review paper focused on monitoring strategies for drill cutting discharge near cold-water coral ecosystems, explicitly addressing exposure minimization and research needs for Lophelia pertusa.</x:v>
      </x:c>
      <x:c r="U98" s="7" t="str">
        <x:v>This is a substantive viewpoint paper that directly addresses sediment-related impacts from drill cuttings on cold-water corals, specifically Lophelia pertusa. It reviews monitoring strategies and recent research, providing assessment-level information on exposure prediction and minimization. This fits B02 (deep/cold review/assessment) more than B01 because it is a procedural/review discussion rather than direct experimental evidence. The stressor is explicit (drill cutting discharge), the organism is explicit, and the assessment value is clear. No exclusion criteria apply. Confidence is high based on the abstract's explicit content.</x:v>
      </x:c>
      <x:c r="V98" s="7" t="str">
        <x:v>ALL_VERIFIED_CENTRAL_PEER_REVIEWED</x:v>
      </x:c>
      <x:c r="W98" s="7" t="str">
        <x:v>TBV1-0020</x:v>
      </x:c>
    </x:row>
    <x:row r="99" ht="42" customHeight="1">
      <x:c r="A99" s="14" t="str">
        <x:v>B</x:v>
      </x:c>
      <x:c r="B99" s="7" t="str">
        <x:v>CWC-8F20D43C1795</x:v>
      </x:c>
      <x:c r="C99" s="7" t="str">
        <x:v>Monitoring Strategies of Suspended Matter after Natural and Deep-Sea Mining Disturbances</x:v>
      </x:c>
      <x:c r="D99" s="7" t="str">
        <x:v>Sabine Haalboom</x:v>
      </x:c>
      <x:c r="E99" s="11" t="str">
        <x:v>2024</x:v>
      </x:c>
      <x:c r="F99" s="7" t="str"/>
      <x:c r="G99" s="7" t="str">
        <x:v>dissertation</x:v>
      </x:c>
      <x:c r="H99" s="7" t="str">
        <x:v>10.33540/2217</x:v>
      </x:c>
      <x:c r="I99" s="7" t="str">
        <x:v>https://doi.org/10.33540/2217</x:v>
      </x:c>
      <x:c r="J99" s="7" t="str">
        <x:v>The world’s oceans are increasingly under pressure from human activities, leading to warming and acidification of ocean waters, overexploitation of living resources, and uncontrolled dispersion of plastic litter and other pollutants. The advance of deep-sea mining poses yet another threat, especially to the unique, vulnerable, and largely unknown deep-sea life. The excavation of metal-rich mineral deposits from the deep-sea bed will not only remove hard substrate which deep-sea fauna like sponges and corals need for settlement; it will also produce sediment plumes which will be dispersed by currents, and which are expected to affect deep-sea life over a much wider area than the actually mined area. If deep-sea mining will be given green light, strict monitoring of these sediment plumes will be needed to ensure that the dispersal of sediment plumes and concentrations of suspended particulate matter (SPM) therein will not exceed prescribed thresholds. In my PhD research I have explored strategies for effective monitoring of sediment plumes produced by deep-sea mining, with a focus on different sensor types that can be used for measuring SPM and how these sensors can best be deployed in monitoring. Field experiments in which the performance of commonly used turbidity sensors was tested in different setups and were carried out in the Whittard Canyon and the Rainbow hydrothermal vent field in the Atlantic Ocean, where enhanced suspended particle concentrations occur naturally, thereby serving as “natural laboratories”, and in the Mediterranean Sea offshore southern Spain and the Clarion-Clipperton Zone in the Pacific Ocean, where sediment plumes were produced artificially.</x:v>
      </x:c>
      <x:c r="K99" s="11" t="str">
        <x:v>YES</x:v>
      </x:c>
      <x:c r="L99" s="7" t="str">
        <x:v>FROZEN_PUBLIC_FULL_TEXT_LOCATION</x:v>
      </x:c>
      <x:c r="M99" s="7" t="str">
        <x:v>https://dspace.library.uu.nl/bitstream/handle/1874/452185/20240507%20-%20thesis%20sabine%20haalboom%20%20cover%20-%20663e7dd31ec17.pdf?sequence=1&amp;isAllowed=y</x:v>
      </x:c>
      <x:c r="N99" s="7" t="str">
        <x:v>VERIFIED_DOI_DOCUMENT</x:v>
      </x:c>
      <x:c r="O99" s="7" t="str">
        <x:v>B02_DEEP_COLD_REVIEW_ASSESSMENT</x:v>
      </x:c>
      <x:c r="P99" s="11" t="str">
        <x:v>HIGH</x:v>
      </x:c>
      <x:c r="Q99" s="7" t="str">
        <x:v>Explicitly mentions deep-sea fauna like sponges and corals that need hard substrate for settlement and are expected to be affected by sediment plumes from deep-sea mining.</x:v>
      </x:c>
      <x:c r="R99" s="7" t="str">
        <x:v>Sediment plumes and suspended particulate matter (SPM) from deep-sea mining and natural disturbances, including field experiments in natural and artificially produced plume settings.</x:v>
      </x:c>
      <x:c r="S99" s="7" t="str">
        <x:v>The thesis focuses on monitoring sediment plumes to ensure SPM concentrations do not exceed prescribed thresholds, providing assessment/monitoring evidence for deep-sea life. Includes sensor performance tests in relevant deep-sea environments.</x:v>
      </x:c>
      <x:c r="T99" s="7" t="str">
        <x:v>B02_DEEP_COLD_REVIEW_ASSESSMENT: A substantive PhD dissertation with direct sediment-impact focus on monitoring and threshold assessment for deep-sea mining plumes relevant to corals and sponges.</x:v>
      </x:c>
      <x:c r="U99" s="7" t="str">
        <x:v>This is a PhD dissertation directly addressing monitoring strategies for suspended particulate matter after deep-sea mining disturbances. It explicitly identifies sponges and corals as deep-sea fauna requiring hard substrate and likely to be affected by sediment plumes. The work includes field experiments on turbidity sensors in natural and artificial plume settings and discusses thresholds for SPM concentrations. This qualifies as a substantive assessment/monitoring document with direct sediment-impact relevance under B02. The alternative B01 also applies, but B02 is a better fit because the document is a thesis specifically designed to inform monitoring and regulatory thresholds.</x:v>
      </x:c>
      <x:c r="V99" s="7" t="str">
        <x:v>ALL_VERIFIED_NON_TROPICAL_TIER_B_INCLUSIONS</x:v>
      </x:c>
      <x:c r="W99" s="7" t="str">
        <x:v>TBV1-1451</x:v>
      </x:c>
    </x:row>
    <x:row r="100" ht="42" customHeight="1">
      <x:c r="A100" s="14" t="str">
        <x:v>B</x:v>
      </x:c>
      <x:c r="B100" s="7" t="str">
        <x:v>CWC-6098F4271A67</x:v>
      </x:c>
      <x:c r="C100" s="7" t="str">
        <x:v>Mushroom corals overcome live burial through pulsed inflation</x:v>
      </x:c>
      <x:c r="D100" s="7" t="str">
        <x:v>Pim Bongaerts | Bert W. Hoeksema | Kyra B. Hay | Ove Hoegh‐Guldberg</x:v>
      </x:c>
      <x:c r="E100" s="11" t="str">
        <x:v>2012</x:v>
      </x:c>
      <x:c r="F100" s="7" t="str">
        <x:v>Coral Reefs</x:v>
      </x:c>
      <x:c r="G100" s="7" t="str">
        <x:v>article</x:v>
      </x:c>
      <x:c r="H100" s="7" t="str">
        <x:v>10.1007/s00338-011-0862-z</x:v>
      </x:c>
      <x:c r="I100" s="7" t="str">
        <x:v>https://doi.org/10.1007/s00338-011-0862-z</x:v>
      </x:c>
      <x:c r="J100" s="7" t="str">
        <x:v># Mushroom corals overcome live burial through pulsed inflation. Fungiid corals appear to be an exception, as they can remove sediments through substantial polyp inflation (up to five times their normal size) in addition to mucus entanglement and ciliary action (Schuhmacher 1977 Ability in fungiid corals to overcome sedimentation. Proc 3rd Int Coral Reef Symp 1:503–509")). Using time-lapse photography (speeding up time 300×), we observed that this inflation occurs in rhythmic pulses (Fig. 1), allowing corals to completely exhume themselves after becoming covered in sand. Specimens of *Lobactis</x:v>
      </x:c>
      <x:c r="K100" s="11" t="str">
        <x:v>YES</x:v>
      </x:c>
      <x:c r="L100" s="7" t="str">
        <x:v>FROZEN_PUBLIC_FULL_TEXT_LOCATION</x:v>
      </x:c>
      <x:c r="M100" s="7" t="str">
        <x:v>https://link.springer.com/content/pdf/10.1007/s00338-011-0862-z.pdf</x:v>
      </x:c>
      <x:c r="N100" s="7" t="str">
        <x:v>VERIFIED_DOI_DOCUMENT</x:v>
      </x:c>
      <x:c r="O100" s="7" t="str">
        <x:v>B04_TROPICAL_PHYSICAL_SEDIMENT_ANALOGUE</x:v>
      </x:c>
      <x:c r="P100" s="11" t="str">
        <x:v>HIGH</x:v>
      </x:c>
      <x:c r="Q100" s="7" t="str">
        <x:v>Mushroom corals (Fungiidae), specifically Lobactis</x:v>
      </x:c>
      <x:c r="R100" s="7" t="str">
        <x:v>Live burial in sand; physical sediment exposure and smothering</x:v>
      </x:c>
      <x:c r="S100" s="7" t="str">
        <x:v>Pulsed polyp inflation up to five times normal size, allowing complete self-exhumation after burial; behavior relevant to sediment clearing and recovery</x:v>
      </x:c>
      <x:c r="T100" s="7" t="str">
        <x:v>Tropical coral study directly observing and documenting a biological response to physical sediment burial (pulsed inflation and exhumation), meeting B04 as a direct sediment analogue with a clearly relevant response.</x:v>
      </x:c>
      <x:c r="U100" s="7" t="str">
        <x:v>This article reports direct observations of mushroom corals (Lobactis) using rhythmic, substantial inflation to shed sand and fully exhume themselves after being buried. The stressor is explicit physical sediment burial, and the response is a behavioral/physiological mechanism facilitating survival and recovery. Because the corals are tropical and the study experimentally/observationally tests sediment exposure with a relevant biological response, it qualifies under B04. It is not merely a mention of sediment; the entire focus is the burial response. No other exclusion applies.</x:v>
      </x:c>
      <x:c r="V100" s="7" t="str">
        <x:v>SPARING_TOP_25_TROPICAL_DIRECT_PHYSICAL_ANALOGUES</x:v>
      </x:c>
      <x:c r="W100" s="7" t="str">
        <x:v>TBV1-0171</x:v>
      </x:c>
    </x:row>
    <x:row r="101" ht="42" customHeight="1">
      <x:c r="A101" s="14" t="str">
        <x:v>B</x:v>
      </x:c>
      <x:c r="B101" s="7" t="str">
        <x:v>CWC-FA6A2B921E3D</x:v>
      </x:c>
      <x:c r="C101" s="7" t="str">
        <x:v>Near-bed particle deposition and resuspension in a cold-water coral mound area at the Southwest Rockall Trough margin, NE Atlantic</x:v>
      </x:c>
      <x:c r="D101" s="7" t="str">
        <x:v>Furu Mienis | Henko de Stigter | H. de Haas | Tj.C.E. van Weering</x:v>
      </x:c>
      <x:c r="E101" s="11" t="str">
        <x:v>2009</x:v>
      </x:c>
      <x:c r="F101" s="7" t="str">
        <x:v>Deep Sea Research Part I Oceanographic Research Papers</x:v>
      </x:c>
      <x:c r="G101" s="7" t="str">
        <x:v>article</x:v>
      </x:c>
      <x:c r="H101" s="7" t="str">
        <x:v>10.1016/j.dsr.2009.01.006</x:v>
      </x:c>
      <x:c r="I101" s="7" t="str">
        <x:v>https://doi.org/10.1016/j.dsr.2009.01.006</x:v>
      </x:c>
      <x:c r="J101" s="7" t="str">
        <x:v>Cold-water coral reefs and mounds are observed mainly on slopes and topographic highs, in areas with high current speeds. Previous investigations of the near-bed hydrodynamic regime around cold-water coral mounds at the Southwest Rockall Trough margin have revealed the presence of internal waves with a diurnal tidal frequency. Hitherto only short-term measurements existed on the particle supply to the corals and data are lacking on the seasonal variability. Bottom landers equipped with sensors recording near-bottom current dynamics were deployed at two sites in a mound area on the Southwest Rockall Trough margin, one with a dense coral cover and one without coral cover. At both sites a similar seasonal variation in internal-wave activity was recorded with high activity during winter and summer months and less dynamic conditions in spring and autumn. Increased intensity of internal-wave activity, reflected in higher average near-bottom current speed and amplitude of daily temperature fluctuations, results in higher mass fluxes as recorded in the sediment traps. On the site without coral cover, mass fluxes are two times higher, compared to the site with dense coral cover. During periods of high mass fluxes a predominance of resuspended material was observed at both sites, as indicated by reduced Pb-210 activity and low organic matter concentrations. The flux of resuspended material largely masked the primary pelagic signal. However, low delta N-15 values in early spring and summer marked the arrival of fresh particles on both sites. A dense coral framework, baffling a large amount of particles settling between the coral branches, results in differences in particle flux, chemical composition and freshness of the trapped material. On the long term the presence of a coral framework plays a crucial role in the build-up of cold-water coral mounds. (C) 2009 Elsevier Ltd. All rights reserved.</x:v>
      </x:c>
      <x:c r="K101" s="11" t="str">
        <x:v>NO</x:v>
      </x:c>
      <x:c r="L101" s="7" t="str">
        <x:v>NOT_CONFIRMED</x:v>
      </x:c>
      <x:c r="M101" s="7" t="str"/>
      <x:c r="N101" s="7" t="str">
        <x:v>VERIFIED_DOI_DOCUMENT</x:v>
      </x:c>
      <x:c r="O101" s="7" t="str">
        <x:v>B01_DEEP_COLD_SEDIMENT_EVIDENCE</x:v>
      </x:c>
      <x:c r="P101" s="11" t="str">
        <x:v>HIGH</x:v>
      </x:c>
      <x:c r="Q101" s="7" t="str">
        <x:v>Cold-water corals (framework-forming) at a mound area in the Southwest Rockall Trough margin; sites with dense coral cover vs no coral cover.</x:v>
      </x:c>
      <x:c r="R101" s="7" t="str">
        <x:v>Near-bed particle deposition and resuspension, increased internal-wave activity, higher mass fluxes, predominance of resuspended material.</x:v>
      </x:c>
      <x:c r="S101" s="7" t="str">
        <x:v>Ecological evidence of coral framework baffling settling particles and influencing particle flux, chemical composition, and mound build-up; no direct physiological coral response reported.</x:v>
      </x:c>
      <x:c r="T101" s="7" t="str">
        <x:v>Explicit deep-sea cold-water coral setting with sediment deposition/resuspension pathway and ecological evidence of sediment trapping and mound development, meeting B01.</x:v>
      </x:c>
      <x:c r="U101" s="7" t="str">
        <x:v>This is a substantive study of near-bed sediment dynamics at a cold-water coral mound area. It describes a clear sediment pathway (deposition and resuspension) and provides ecological evidence: the presence of a coral framework influences particle trapping, flux, and mound build-up. While it does not measure a classic stress response (e.g., growth or mortality), the ecological interactions between corals and sediment qualify under B01's broad 'biological or ecological evidence' criterion. It is not merely a physical transport study because it explicitly compares coral-covered and bare sites and discusses the coral framework's role in sediment baffling. The alternative CHAIN_ONLY would be inappropriate because the abstract contains direct coral-sediment content. Therefore, Tier B include is justified.</x:v>
      </x:c>
      <x:c r="V101" s="7" t="str">
        <x:v>ALL_VERIFIED_CENTRAL_PEER_REVIEWED</x:v>
      </x:c>
      <x:c r="W101" s="7" t="str">
        <x:v>TBV1-0058</x:v>
      </x:c>
    </x:row>
    <x:row r="102" ht="42" customHeight="1">
      <x:c r="A102" s="14" t="str">
        <x:v>B</x:v>
      </x:c>
      <x:c r="B102" s="7" t="str">
        <x:v>CWC-ECD90E3C96E1</x:v>
      </x:c>
      <x:c r="C102" s="7" t="str">
        <x:v>A new laboratory method for monitoring deep-water coral polyp behaviour</x:v>
      </x:c>
      <x:c r="D102" s="7" t="str">
        <x:v>J. Murray Roberts | Robert Anderson</x:v>
      </x:c>
      <x:c r="E102" s="11" t="str">
        <x:v>2002</x:v>
      </x:c>
      <x:c r="F102" s="7" t="str">
        <x:v>Hydrobiologia</x:v>
      </x:c>
      <x:c r="G102" s="7" t="str">
        <x:v>article</x:v>
      </x:c>
      <x:c r="H102" s="7" t="str">
        <x:v>10.1023/a:1016513607002</x:v>
      </x:c>
      <x:c r="I102" s="7" t="str">
        <x:v>https://doi.org/10.1023/a:1016513607002</x:v>
      </x:c>
      <x:c r="J102" s="7" t="str">
        <x:v>Deep-water corals are found along the oceanic margins world-wide and in the north east Atlantic the most abundant species is Lophelia pertusa (L.). There is now growing evidence that deep-water reefs formed by such species are coming under increasing pressures from resource exploitation, principally deep-sea trawling and hydrocarbon exploration. Here a novel and unobtrusive method of recording deep-water coral behaviour in the laboratory is described using time-lapse video to record silhouettes of the polyps under infrared illumination. The polyps of L. pertusa behaved asynchronously and did not show any clear diurnal patterns over a three-day observation period. Conceptually, sessile benthic suspension feeders appear to be vulnerable to smothering by sediments disturbed by bottom trawls or sub-seabed drilling. This method allows deep-water coral polyp behaviour to be continuously monitored in the laboratory and, therefore, the responses of coral polyps to environmental perturbations such as sedimentation can be recorded. Further work is necessary to resolve the sensitivity of deep-water corals to short-term environmental change and the combined approach of in situ monitoring and subsequent laboratory experimentation has great potential to address these issues.</x:v>
      </x:c>
      <x:c r="K102" s="11" t="str">
        <x:v>NO</x:v>
      </x:c>
      <x:c r="L102" s="7" t="str">
        <x:v>NOT_CONFIRMED</x:v>
      </x:c>
      <x:c r="M102" s="7" t="str"/>
      <x:c r="N102" s="7" t="str">
        <x:v>VERIFIED_DOI_DOCUMENT</x:v>
      </x:c>
      <x:c r="O102" s="7" t="str">
        <x:v>B01_DEEP_COLD_SEDIMENT_EVIDENCE</x:v>
      </x:c>
      <x:c r="P102" s="11" t="str">
        <x:v>MEDIUM</x:v>
      </x:c>
      <x:c r="Q102" s="7" t="str">
        <x:v>Lophelia pertusa, a deep-water (cold-water) coral</x:v>
      </x:c>
      <x:c r="R102" s="7" t="str">
        <x:v>Sedimentation/smothering by sediments disturbed by bottom trawling or sub-seabed drilling</x:v>
      </x:c>
      <x:c r="S102" s="7" t="str">
        <x:v>Laboratory time-lapse video method to record polyp behaviour; concept that deep-water corals are vulnerable to smothering; method designed to record responses to environmental perturbations such as sedimentation</x:v>
      </x:c>
      <x:c r="T102" s="7" t="str">
        <x:v>B01_DEEP_COLD_SEDIMENT_EVIDENCE</x:v>
      </x:c>
      <x:c r="U102" s="7" t="str">
        <x:v>Deep-water coral Lophelia pertusa; sediment smothering pathway from bottom trawls or sub-seabed drilling is explicitly identified. The paper presents a time-lapse infrared video method to continuously monitor polyp behaviour, intended to record responses to sedimentation in the laboratory. This supplies monitoring evidence and directly supports future sediment-impact testing. It qualifies under B01_DEEP_COLD_SEDIMENT_EVIDENCE because the source is a deep/cold coral with an explicit sediment pathway and a monitoring/behavioural response framework. Excluded alternatives: EXCLUDE is inappropriate because the sediment–coral linkage is substantive; CHAIN_ONLY would undervalue the explicit methodological contribution to sediment-response monitoring.</x:v>
      </x:c>
      <x:c r="V102" s="7" t="str">
        <x:v>ALL_VERIFIED_CENTRAL_PEER_REVIEWED</x:v>
      </x:c>
      <x:c r="W102" s="7" t="str">
        <x:v>TBV1-0030</x:v>
      </x:c>
    </x:row>
    <x:row r="103" ht="42" customHeight="1">
      <x:c r="A103" s="14" t="str">
        <x:v>B</x:v>
      </x:c>
      <x:c r="B103" s="7" t="str">
        <x:v>GLV4-C8E6184886E3</x:v>
      </x:c>
      <x:c r="C103" s="7" t="str">
        <x:v>Norway's integrated ocean management plans</x:v>
      </x:c>
      <x:c r="D103" s="7" t="str"/>
      <x:c r="E103" s="11" t="str"/>
      <x:c r="F103" s="7" t="str">
        <x:v>regjeringen.no</x:v>
      </x:c>
      <x:c r="G103" s="7" t="str">
        <x:v>report</x:v>
      </x:c>
      <x:c r="H103" s="7" t="str"/>
      <x:c r="I103" s="7" t="str">
        <x:v>https://www.regjeringen.no/contentassets/9c72daf967d54641bcc1fe7793a85659/en-gb/pdfs/stm202320240021000engpdfs.pdf</x:v>
      </x:c>
      <x:c r="J103" s="7" t="str">
        <x:v>108 Meld. St. 21 (2023–2024) Report to the Storting (white paper) 2023–2024 Norway’s integrated ocean management plans Petroleum activity can put pressure on vulner­ able benthic fauna such as corals and sponges, for example through deposition of drill cuttings. Corals and other benthic fauna can also be dam­ aged when pipes and cables are laid and anchor chains and other installations are placed on the seabed. Operators are therefore required to sur­ vey any coral reefs and other valuable benthic communities that may be affected by petroleum activities and ensure that they are not damaged. [.</x:v>
      </x:c>
      <x:c r="K103" s="11" t="str">
        <x:v>YES</x:v>
      </x:c>
      <x:c r="L103" s="7" t="str">
        <x:v>PUBLIC_FULL_DOCUMENT_LOCATION</x:v>
      </x:c>
      <x:c r="M103" s="7" t="str">
        <x:v>https://www.regjeringen.no/contentassets/9c72daf967d54641bcc1fe7793a85659/en-gb/pdfs/stm202320240021000engpdfs.pdf</x:v>
      </x:c>
      <x:c r="N103" s="7" t="str">
        <x:v>VERIFIED_DIRECT_DOCUMENT_URL</x:v>
      </x:c>
      <x:c r="O103" s="7" t="str">
        <x:v>B02_DEEP_COLD_REVIEW_ASSESSMENT</x:v>
      </x:c>
      <x:c r="P103" s="11" t="str">
        <x:v>HIGH</x:v>
      </x:c>
      <x:c r="Q103" s="7" t="str">
        <x:v>Deep-sea/cold-water corals and sponges are explicitly named as vulnerable benthic fauna potentially affected by petroleum activities in Norway's ocean management areas.</x:v>
      </x:c>
      <x:c r="R103" s="7" t="str">
        <x:v>Explicit sediment-related pathway: deposition of drill cuttings; also physical disturbance from pipes/cables/anchor chains.</x:v>
      </x:c>
      <x:c r="S103" s="7" t="str">
        <x:v>A regulatory/management assessment requiring operators to survey coral reefs and valuable benthic communities and ensure they are not damaged; indicates prevention/mitigation focus.</x:v>
      </x:c>
      <x:c r="T103" s="7" t="str">
        <x:v>Substantive government white paper (Report to the Storting) on integrated ocean management with direct sediment-impact focus on corals and sponges, fitting B02_DEEP_COLD_REVIEW_ASSESSMENT as a regulatory assessment with potential to inform effects, exposure, thresholds, and mitigation.</x:v>
      </x:c>
      <x:c r="U103" s="7" t="str">
        <x:v>This is a Norwegian government white paper on integrated ocean management plans that explicitly addresses petroleum pressure on vulnerable benthic fauna, including corals and sponges, with an example pathway of drill cuttings deposition. It represents a substantive regulatory assessment/report with a direct sediment-impact focus and clear management implications (surveys to protect valuable benthic communities). The document is deep/cold in context (Norwegian ocean management covering cold-water coral habitats). It qualifies under B02_DEEP_COLD_REVIEW_ASSESSMENT rather than B01 because it is not primary experimental or monitoring evidence of organism response, but a synthesized assessment. It should not be excluded because the sediment pathway (drill cuttings) and target organisms (corals/sponges) are explicit, and the report provides assessment and mitigation value relevant to the review.</x:v>
      </x:c>
      <x:c r="V103" s="7" t="str">
        <x:v>ALL_VERIFIED_NON_TROPICAL_TIER_B_INCLUSIONS</x:v>
      </x:c>
      <x:c r="W103" s="7" t="str">
        <x:v>TBV1-0750</x:v>
      </x:c>
    </x:row>
    <x:row r="104" ht="42" customHeight="1">
      <x:c r="A104" s="14" t="str">
        <x:v>B</x:v>
      </x:c>
      <x:c r="B104" s="7" t="str">
        <x:v>CWC-9E8E769BB6C1</x:v>
      </x:c>
      <x:c r="C104" s="7" t="str">
        <x:v>Nutrient and sediment loading affect multiple facets of coral functionality in a tropical branching coral</x:v>
      </x:c>
      <x:c r="D104" s="7" t="str">
        <x:v>Danielle M. Becker | Nyssa J. Silbiger</x:v>
      </x:c>
      <x:c r="E104" s="11" t="str">
        <x:v>2020</x:v>
      </x:c>
      <x:c r="F104" s="7" t="str">
        <x:v>Journal of Experimental Biology</x:v>
      </x:c>
      <x:c r="G104" s="7" t="str">
        <x:v>article</x:v>
      </x:c>
      <x:c r="H104" s="7" t="str">
        <x:v>10.1242/jeb.225045</x:v>
      </x:c>
      <x:c r="I104" s="7" t="str">
        <x:v>https://doi.org/10.1242/jeb.225045</x:v>
      </x:c>
      <x:c r="J104" s="7" t="str">
        <x:v>ABSTRACT Coral reefs, one of the most diverse ecosystems in the world, face increasing pressures from global and local anthropogenic stressors. Therefore, a better understanding of the ecological ramifications of warming and land-based inputs (e.g. sedimentation and nutrient loading) on coral reef ecosystems is necessary. In this study, we measured how a natural nutrient and sedimentation gradient affected multiple facets of coral functionality, including endosymbiont and coral host response variables, holobiont metabolic responses and percent cover of Pocillopora acuta colonies in Mo′orea, French Polynesia. We used thermal performance curves to quantify the relationship between metabolic rates and temperature along the environmental gradient. We found that algal endosymbiont percent nitrogen content, endosymbiont densities and total chlorophyll a content increased with nutrient input, while endosymbiont nitrogen content per cell decreased, likely representing competition among the algal endosymbionts. Nutrient and sediment loading decreased coral metabolic responses to thermal stress in terms of their thermal performance and metabolic rate processes. The acute thermal optimum for dark respiration decreased, along with the maximal performance for gross photosynthetic and calcification rates. Gross photosynthetic and calcification rates normalized to a reference temperature (26.8﻿°C) decreased along the gradient. Lastly, percent cover of P. acuta colonies decreased by nearly two orders of magnitude along the nutrient gradient. These findings illustrate that nutrient and sediment loading affect multiple levels of coral functionality. Understanding how local-scale anthropogenic stressors influence the responses of corals to temperature can inform coral reef management, particularly in relation to the mediation of land-based inputs into coastal coral reef ecosystems. Summary: Nutrient and sediment loading decreased thermal performance and increased endosymbiont competition in the branching coral Pocillopora acuta, with elevated sites having lower percent cover in Mo′orea, French Polynesia.</x:v>
      </x:c>
      <x:c r="K104" s="11" t="str">
        <x:v>YES</x:v>
      </x:c>
      <x:c r="L104" s="7" t="str">
        <x:v>FROZEN_PUBLIC_FULL_TEXT_LOCATION</x:v>
      </x:c>
      <x:c r="M104" s="7" t="str">
        <x:v>https://journals.biologists.com/jeb/article-pdf/223/21/jeb225045/1983083/jeb225045.pdf</x:v>
      </x:c>
      <x:c r="N104" s="7" t="str">
        <x:v>VERIFIED_DOI_DOCUMENT</x:v>
      </x:c>
      <x:c r="O104" s="7" t="str">
        <x:v>B04_TROPICAL_PHYSICAL_SEDIMENT_ANALOGUE</x:v>
      </x:c>
      <x:c r="P104" s="11" t="str">
        <x:v>HIGH</x:v>
      </x:c>
      <x:c r="Q104" s="7" t="str">
        <x:v>Tropical branching coral Pocillopora acuta in Mo'orea, French Polynesia.</x:v>
      </x:c>
      <x:c r="R104" s="7" t="str">
        <x:v>Natural nutrient and sediment loading gradient from land-based inputs, including sedimentation.</x:v>
      </x:c>
      <x:c r="S104" s="7" t="str">
        <x:v>Measured multiple coral functionality facets: endosymbiont density, nitrogen content, chlorophyll a, holobiont metabolic responses, thermal performance curves, gross photosynthesis, calcification, dark respiration, and percent cover. Sediment/nutrient loading reduced thermal performance and percent cover.</x:v>
      </x:c>
      <x:c r="T104" s="7" t="str">
        <x:v>Directly measures physical sediment/nutrient exposure along a gradient and reports biological responses in a tropical coral, satisfying B04 as a tropical physical sediment analogue.</x:v>
      </x:c>
      <x:c r="U104" s="7" t="str">
        <x:v>This paper explicitly evaluates how a natural gradient of nutrient and sediment loading affects multiple facets of coral functionality, including metabolism, photosynthesis, calcification, and percent cover in the tropical coral Pocillopora acuta. The sediment pathway is central to the study design, and the responses are directly relevant biological effects. This qualifies under B04 because it experimentally/analytically tests physical sediment exposure and reports relevant coral responses, even though it also includes nutrients. It is not merely mention of sediment; sediment loading is a key driver. Therefore, include.</x:v>
      </x:c>
      <x:c r="V104" s="7" t="str">
        <x:v>SPARING_TOP_25_TROPICAL_DIRECT_PHYSICAL_ANALOGUES</x:v>
      </x:c>
      <x:c r="W104" s="7" t="str">
        <x:v>TBV1-1180</x:v>
      </x:c>
    </x:row>
    <x:row r="105" ht="42" customHeight="1">
      <x:c r="A105" s="14" t="str">
        <x:v>B</x:v>
      </x:c>
      <x:c r="B105" s="7" t="str">
        <x:v>CWC-F2F3CDA32CE9</x:v>
      </x:c>
      <x:c r="C105" s="7" t="str">
        <x:v>Oceanographic habitat of sponge reefs on the Western Canadian Continental Shelf</x:v>
      </x:c>
      <x:c r="D105" s="7" t="str">
        <x:v>F. Whitney; K. Conway; R. Thomson; V. Barrie; M. Krautter; G. Mungov</x:v>
      </x:c>
      <x:c r="E105" s="11" t="str">
        <x:v>2005</x:v>
      </x:c>
      <x:c r="F105" s="7" t="str">
        <x:v>CONTINENTAL SHELF RESEARCH</x:v>
      </x:c>
      <x:c r="G105" s="7" t="str">
        <x:v>JOUR</x:v>
      </x:c>
      <x:c r="H105" s="7" t="str">
        <x:v>10.1016/j.csr.2004.09.003</x:v>
      </x:c>
      <x:c r="I105" s="7" t="str">
        <x:v>https://doi.org/10.1016/j.csr.2004.09.003</x:v>
      </x:c>
      <x:c r="J105" s="7" t="str">
        <x:v>This paper describes oceanographic conditions in which siliceous (Hexactinellida, Hexactinosida) sponge reefs thrive near the heads of shelf canyons on the west coast of Canada. Unique in the present world ocean, these colonies consist of mounds (bioherms) up to 21 m in height and beds (biostromes), which extend for tens of kilometers at depths between 140 and 240 m. The relaxation of winter downwelling and occasional weak summer upwelling enhances northward up-canyon intrusions of nutrient rich bottom waters in Hecate Strait. As bottom waters cross the shelf, they are further enriched with nutrients and depleted in oxygen by remineralization processes. Silicate concentrations in waters around sponge reefs are thus enhanced during what is likely the sponge's main growing season. Bottom waters in the vicinity of the sponge reefs contain 43-75 muM silicate and 64-152 muM dissolved oxygen, and have a temperature range of 5.5-7.3 C and a salinity range of 33.2-34.2. Canyons harbouring the sponge reefs provide a means of concentrating particulate material that the sponges can use to enrich their habitat. Detrital rain supplies particulates to canyons in what appears to be tidally modulated pulses. Particulate material entrained in near bottom currents has a residence time of approximately 6 days in contact with the largest sponge reef and is effectively trapped by sponges, which enhances mound construction. A simple budget of Si uptake by the 425 km(2) area of the northern sponge reef shows that it has slight impact on the Si budget of this region. Scour by the similar to25 cm s(-1) bottom tidal currents eliminates sediment accumulation on the reefs and the surrounding seabed. (C) 2004 Elsevier Ltd. All rights reserved.</x:v>
      </x:c>
      <x:c r="K105" s="11" t="str">
        <x:v>NO</x:v>
      </x:c>
      <x:c r="L105" s="7" t="str">
        <x:v>NOT_CONFIRMED</x:v>
      </x:c>
      <x:c r="M105" s="7" t="str"/>
      <x:c r="N105" s="7" t="str">
        <x:v>VERIFIED_DOI_DOCUMENT</x:v>
      </x:c>
      <x:c r="O105" s="7" t="str">
        <x:v>B01_DEEP_COLD_SEDIMENT_EVIDENCE</x:v>
      </x:c>
      <x:c r="P105" s="11" t="str">
        <x:v>HIGH</x:v>
      </x:c>
      <x:c r="Q105" s="7" t="str">
        <x:v>Cold-water siliceous sponges (Hexactinellida, Hexactinosida) forming reefs in shelf canyons at 140-240 m depth off western Canada.</x:v>
      </x:c>
      <x:c r="R105" s="7" t="str">
        <x:v>Sediment/particulate material: detrital rain, tidal pulsing, canyon concentration, near-bottom currents (25 cm/s) causing scour and influencing sediment accumulation on and around reefs.</x:v>
      </x:c>
      <x:c r="S105" s="7" t="str">
        <x:v>Sponges trap particulate material, use it to enrich habitat, and enhance mound construction; sediment scour prevents burial and supports reef maintenance; reef growth season linked to enhanced silicate from remineralized bottom waters.</x:v>
      </x:c>
      <x:c r="T105" s="7" t="str">
        <x:v>B01_DEEP_COLD_SEDIMENT_EVIDENCE: A deep/cold sponge source with explicit sediment/particulate pathway and biological/ecological response evidence (habitat enrichment, trapping, reef construction, avoidance of sediment accumulation).</x:v>
      </x:c>
      <x:c r="U105" s="7" t="str">
        <x:v>This journal article describes oceanographic conditions around deep-sea sponge reefs, explicitly linking sediment/particulate dynamics to sponge habitat and reef construction. It qualifies under B01 because it provides biological/ecological evidence (particle trapping, habitat enrichment, mound construction) for a sediment pathway in a cold-water sponge system. Although it also covers physical oceanography, the sediment-sponge interaction is central. It is not merely a distribution or geological study; it discusses how particulate material is used by sponges and how scour prevents sediment accumulation, directly relevant to sediment effects. The alternative decisions (CHAIN_ONLY or EXCLUDE) are not appropriate because the sediment-mediated biological response is clear.</x:v>
      </x:c>
      <x:c r="V105" s="7" t="str">
        <x:v>ALL_VERIFIED_NON_TROPICAL_TIER_B_INCLUSIONS</x:v>
      </x:c>
      <x:c r="W105" s="7" t="str">
        <x:v>TBV1-0124</x:v>
      </x:c>
    </x:row>
    <x:row r="106" ht="42" customHeight="1">
      <x:c r="A106" s="14" t="str">
        <x:v>B</x:v>
      </x:c>
      <x:c r="B106" s="7" t="str">
        <x:v>GLV4-E2B2EA83FF89</x:v>
      </x:c>
      <x:c r="C106" s="7" t="str">
        <x:v>Oceanography and Marine Biology - ResearchOnline@JCU</x:v>
      </x:c>
      <x:c r="D106" s="7" t="str"/>
      <x:c r="E106" s="11" t="str"/>
      <x:c r="F106" s="7" t="str">
        <x:v>researchonline.jcu.edu.au</x:v>
      </x:c>
      <x:c r="G106" s="7" t="str">
        <x:v>report</x:v>
      </x:c>
      <x:c r="H106" s="7" t="str"/>
      <x:c r="I106" s="7" t="str">
        <x:v>https://researchonline.jcu.edu.au/65699/1/65699.pdf</x:v>
      </x:c>
      <x:c r="J106" s="7" t="str">
        <x:v>suspended sediment concentrations, contrasting the negative relationship observed for coral and CCA cover (Fabricius &amp; De’ath 2001b, 2004, Fabricius et al. 2005, Hutchings et al. 2005, Bessell-Browne et al. 2017b). Sediments and high turbidity alter reef structure, reproduction, larval success, recruitment, bioerosion and species interactions on inshore reefs (Babcock &amp; Davies 1991, Fabricius 2005, 2005, Hutchings et al. 2005), with extensive dredging activity posing considerable risk (Erftemeijer et al. 2012, Jones et al. 2016, Bessell-Browne et al. 2017a, Pineda et al. 2017b, Tebbett et al.</x:v>
      </x:c>
      <x:c r="K106" s="11" t="str">
        <x:v>YES</x:v>
      </x:c>
      <x:c r="L106" s="7" t="str">
        <x:v>PUBLIC_FULL_DOCUMENT_LOCATION</x:v>
      </x:c>
      <x:c r="M106" s="7" t="str">
        <x:v>https://researchonline.jcu.edu.au/65699/1/65699.pdf</x:v>
      </x:c>
      <x:c r="N106" s="7" t="str">
        <x:v>VERIFIED_DIRECT_DOCUMENT_URL</x:v>
      </x:c>
      <x:c r="O106" s="7" t="str">
        <x:v>B05_BROAD_SYNTHESIS_WITH_TARGET_EVIDENCE</x:v>
      </x:c>
      <x:c r="P106" s="11" t="str">
        <x:v>HIGH</x:v>
      </x:c>
      <x:c r="Q106" s="7" t="str">
        <x:v>Corals and crustose coralline algae (CCA) on inshore reefs, with explicit mention of coral and CCA cover, reproduction, larval success, recruitment, bioerosion, and species interactions.</x:v>
      </x:c>
      <x:c r="R106" s="7" t="str">
        <x:v>Suspended sediment concentrations, high turbidity, and extensive dredging activity; sediment-related pathways affecting reef organisms.</x:v>
      </x:c>
      <x:c r="S106" s="7" t="str">
        <x:v>Negative relationships between suspended sediments and coral/CCA cover; sediment effects on reef structure, reproduction, larval success, recruitment, bioerosion, and species interactions; risks from dredging.</x:v>
      </x:c>
      <x:c r="T106" s="7" t="str">
        <x:v>A substantive report/review (Oceanography and Marine Biology series) that synthesizes coral/CCA responses to sediment and turbidity, providing a broad assessment with target-specific evidence relevant to the review.</x:v>
      </x:c>
      <x:c r="U106" s="7" t="str">
        <x:v>The abstract clearly addresses tropical corals and CCA responding to suspended sediments, turbidity, and dredging, with impacts on cover, reproduction, recruitment, and species interactions. This is a broad synthesis, not a primary experimental test, so B05 is preferred over B04. It is not deep/cold (B01/B02) or a non-tropical mechanism (B03). The document is substantive despite the generic title, as the snippet indicates a scientific review chapter. Exclusions do not apply because coral/sponge evidence and sediment pathway are explicit. Confidence is high because the abstract alone provides sufficient target evidence.</x:v>
      </x:c>
      <x:c r="V106" s="7" t="str">
        <x:v>ALL_VERIFIED_NON_TROPICAL_TIER_B_INCLUSIONS</x:v>
      </x:c>
      <x:c r="W106" s="7" t="str">
        <x:v>TBV1-0671</x:v>
      </x:c>
    </x:row>
    <x:row r="107" ht="42" customHeight="1">
      <x:c r="A107" s="14" t="str">
        <x:v>B</x:v>
      </x:c>
      <x:c r="B107" s="7" t="str">
        <x:v>GLV4-7EFDB53A0304</x:v>
      </x:c>
      <x:c r="C107" s="7" t="str">
        <x:v>Onslow Marine Support Base Stage 2: Capital Dredging</x:v>
      </x:c>
      <x:c r="D107" s="7" t="str"/>
      <x:c r="E107" s="11" t="str"/>
      <x:c r="F107" s="7" t="str">
        <x:v>epa.wa.gov.au</x:v>
      </x:c>
      <x:c r="G107" s="7" t="str">
        <x:v>report</x:v>
      </x:c>
      <x:c r="H107" s="7" t="str"/>
      <x:c r="I107" s="7" t="str">
        <x:v>https://www.epa.wa.gov.au/sites/default/files/Request_for_info/OMSBStage2_EnvironmentalReviewDocument.pdf</x:v>
      </x:c>
      <x:c r="J107" s="7" t="str">
        <x:v>in the nearshore Proposal Area (O2 Marine 2017a). Separate zones of impact were created based on Suspended Sediment Concentrations (SSC) and sedimentation tolerance limits for coral and seagrass. The SSC dredge plume ZoHI represents the predicted area of irreversible loss and the ZoMI represents the predicted recoverable impacts of BCH. The impact zones for sedimentation are more localised and occur within the extent of area predicted in SSC dredge model outputs. The predicted environmental impacts of the proposed OMSB dredging project were further refined based on the review of recent literat</x:v>
      </x:c>
      <x:c r="K107" s="11" t="str">
        <x:v>YES</x:v>
      </x:c>
      <x:c r="L107" s="7" t="str">
        <x:v>PUBLIC_FULL_DOCUMENT_LOCATION</x:v>
      </x:c>
      <x:c r="M107" s="7" t="str">
        <x:v>https://www.epa.wa.gov.au/sites/default/files/Request_for_info/OMSBStage2_EnvironmentalReviewDocument.pdf</x:v>
      </x:c>
      <x:c r="N107" s="7" t="str">
        <x:v>VERIFIED_DIRECT_DOCUMENT_URL</x:v>
      </x:c>
      <x:c r="O107" s="7" t="str">
        <x:v>B05_BROAD_SYNTHESIS_WITH_TARGET_EVIDENCE</x:v>
      </x:c>
      <x:c r="P107" s="11" t="str">
        <x:v>HIGH</x:v>
      </x:c>
      <x:c r="Q107" s="7" t="str">
        <x:v>Coral (and seagrass) are explicitly mentioned as receiving organisms for which sedimentation tolerance limits are defined.</x:v>
      </x:c>
      <x:c r="R107" s="7" t="str">
        <x:v>Capital dredging creates suspended sediment concentrations (SSC) and sedimentation, with a dredge plume and impact zones predicted.</x:v>
      </x:c>
      <x:c r="S107" s="7" t="str">
        <x:v>Impact zones are based on predicted irreversible loss (ZoHI) and recoverable impacts (ZoMI) for corals and seagrass, informed by tolerance limits and literature review.</x:v>
      </x:c>
      <x:c r="T107" s="7" t="str">
        <x:v>This is a government environmental review document assessing sediment-related impacts from dredging on corals. It is a substantive assessment, not a discovery page, and separately reports coral-relevant evidence within a broader impact assessment that also covers seagrass.</x:v>
      </x:c>
      <x:c r="U107" s="7" t="str">
        <x:v>The record is an environmental review document from a government source (EPA WA) concerning capital dredging and its impacts via suspended sediment and sedimentation on corals and seagrass. It clearly defines impact zones based on SSC and sedimentation tolerance limits for coral, predicting irreversible and recoverable losses. This is a substantive assessment with direct sediment-impact focus on corals. The closest alternative is B04 (tropical physical sediment analogue), but this is not an experimental or direct measurement study; it is a review/assessment. B02 is for deep/cold systems, which is not the case here. B05 fits as a broader assessment that separately reports coral evidence. Therefore, TIER_B_INCLUDE under B05 is appropriate.</x:v>
      </x:c>
      <x:c r="V107" s="7" t="str">
        <x:v>ALL_VERIFIED_NON_TROPICAL_TIER_B_INCLUSIONS</x:v>
      </x:c>
      <x:c r="W107" s="7" t="str">
        <x:v>TBV1-0672</x:v>
      </x:c>
    </x:row>
    <x:row r="108" ht="42" customHeight="1">
      <x:c r="A108" s="14" t="str">
        <x:v>B</x:v>
      </x:c>
      <x:c r="B108" s="7" t="str">
        <x:v>CWC-69942A71FF7E</x:v>
      </x:c>
      <x:c r="C108" s="7" t="str">
        <x:v>Particle capture and transport in the demosponge Halichondria panicea :Speed talk and poster</x:v>
      </x:c>
      <x:c r="D108" s="7" t="str">
        <x:v>Rachael A. Kealy | Josephine Goldstein | Hans Ulrik Riisgård | Jonathan R. Brewer | Vita Solovyeva | Peter Funch</x:v>
      </x:c>
      <x:c r="E108" s="11" t="str">
        <x:v>2022</x:v>
      </x:c>
      <x:c r="F108" s="7" t="str"/>
      <x:c r="G108" s="7" t="str">
        <x:v>conference-paper</x:v>
      </x:c>
      <x:c r="H108" s="7" t="str"/>
      <x:c r="I108" s="7" t="str">
        <x:v>https://pure.au.dk/portal/en/publications/4578672a-740d-4bbc-9973-1174456bd9e0</x:v>
      </x:c>
      <x:c r="J108" s="7" t="str">
        <x:v>Sponges are efficient filter-feeders that encounter various food regimes with changing loads of inedible particles, such as suspended sediment, in their natural habitats. In some demosponges, peristaltic-like contractions of the aquiferous system facilitate removal of inedible material. Other studies have indicated selective feeding on certain types of food particles. However, the detailed mechanisms, cell types and aquiferous structures involved in capture, transport, and removal of different types of particles in sponges are not fully understood. Here we identify and characterize the sponge cell types and morphological structures involved in contractions, particle transport and water flow in the aquiferous system of the marine demosponge Halichondria panicea when exposed to different particle types and concentrations. We describe trigger level concentrations of edible and inedible particles of two distinct size groups (2 and 10 µm) which can reliably induce contractions in explants of H. panicea . We track the same particle types in the aquiferous system and mesohyl of sandwich cultures and cryofractured explants using live-cell imaging and SEM, respectively. Our study shows that edible 2 µm-particles which enter choanocyte chambers are captured and phagocytosed by choanocytes, while inedible particles are removed via apopyles with the water flow through excurrent canals. 10 µm-particles that cannot enter ostia or prosopyles are captured either on the sponge surface or in incurrent canals before they are phagocytosed by exo- or endopinacocytes, respectively. Afterwards they are transferred to amoeboid cells in the mesohyl which digest edible particle after disintegration into smaller fragments and remove inedible particles via exocytosis by endopinacocytes of the excurrent canals. Apart from feeding, possible functions of the observed capture, transport and removal mechanisms are cleaning of the aquiferous system and prevention of clogging of the sponge filter-pump.</x:v>
      </x:c>
      <x:c r="K108" s="11" t="str">
        <x:v>NO</x:v>
      </x:c>
      <x:c r="L108" s="7" t="str">
        <x:v>NOT_CONFIRMED</x:v>
      </x:c>
      <x:c r="M108" s="7" t="str"/>
      <x:c r="N108" s="7" t="str">
        <x:v>VERIFIED_BIBLIOGRAPHIC_DOCUMENT</x:v>
      </x:c>
      <x:c r="O108" s="7" t="str">
        <x:v>B03_NON_TROPICAL_DIRECT_MECHANISM</x:v>
      </x:c>
      <x:c r="P108" s="11" t="str">
        <x:v>HIGH</x:v>
      </x:c>
      <x:c r="Q108" s="7" t="str">
        <x:v>Marine demosponge Halichondria panicea</x:v>
      </x:c>
      <x:c r="R108" s="7" t="str">
        <x:v>Exposure to different particle types and concentrations, including suspended sediment and inedible particles (2 and 10 µm)</x:v>
      </x:c>
      <x:c r="S108" s="7" t="str">
        <x:v>Contractions of the aquiferous system, particle capture/transport/removal, cleaning mechanisms, and prevention of clogging; trigger level concentrations described</x:v>
      </x:c>
      <x:c r="T108" s="7" t="str">
        <x:v>Direct experimental study of a temperate sponge exposed to sediment-relevant particles, reporting physiological and cellular responses related to particle handling and clogging prevention.</x:v>
      </x:c>
      <x:c r="U108" s="7" t="str">
        <x:v>This conference paper experimentally tests a temperate sponge (Halichondria panicea) with suspended sediment-like inedible particles, documenting trigger concentrations for contractions and detailed mechanisms of particle capture, transport, and removal. This qualifies under B03 as a non-tropical direct mechanism study with a clear sediment-related exposure and relevant biological responses. It is not merely a mention of sediment; the entire study focuses on particle handling and clogging prevention. Therefore TIER_B_INCLUDE is preferred over CHAIN_ONLY or EXCLUDE.</x:v>
      </x:c>
      <x:c r="V108" s="7" t="str">
        <x:v>ALL_VERIFIED_NON_TROPICAL_TIER_B_INCLUSIONS</x:v>
      </x:c>
      <x:c r="W108" s="7" t="str">
        <x:v>TBV1-0212</x:v>
      </x:c>
    </x:row>
    <x:row r="109" ht="42" customHeight="1">
      <x:c r="A109" s="14" t="str">
        <x:v>B</x:v>
      </x:c>
      <x:c r="B109" s="7" t="str">
        <x:v>CWC-EA7596C0C122</x:v>
      </x:c>
      <x:c r="C109" s="7" t="str">
        <x:v>Particle loads, contractile responses and cleaning in the demosponge Halichondria panicea</x:v>
      </x:c>
      <x:c r="D109" s="7" t="str">
        <x:v>Josephine Goldstein | Hans Ulrik Riisgård | Rachael A. Kealy | Peter Funch</x:v>
      </x:c>
      <x:c r="E109" s="11" t="str">
        <x:v>2024</x:v>
      </x:c>
      <x:c r="F109" s="7" t="str">
        <x:v>Journal of Experimental Marine Biology and Ecology</x:v>
      </x:c>
      <x:c r="G109" s="7" t="str">
        <x:v>article</x:v>
      </x:c>
      <x:c r="H109" s="7" t="str">
        <x:v>10.1016/j.jembe.2024.152021</x:v>
      </x:c>
      <x:c r="I109" s="7" t="str">
        <x:v>https://doi.org/10.1016/j.jembe.2024.152021</x:v>
      </x:c>
      <x:c r="J109" s="7" t="str">
        <x:v>Sponges exposed to high concentrations of particles during filter-feeding may become overloaded, triggering closure of the osculum and contraction of the sponge, thus preventing too many particles from entering the aquiferous system. However, the minimum particle concentration of small versus larger particles that triggers contractions has not yet been described. Here, based on microscope-video recordings, we report our observations of explants of the demosponge Halichondria panicea . Explants contracted within m beads (1 x 10(7) particles mL(-1)), larger algal cells (Rhodomonas salina), and 10 mu m beads (1 x 10(5) mL(-1), respectively). No contractions occurred in sponge explants exposed to these particle types at concentrations &lt;0.5 x 10(4) mL(-1). Likewise, inorganic marl and ink particles induced osculum closure in sponge explants at concentrations ranging from 1 x 10(5) to 1 x 10(6) particles mL(-1). When the explants were subsequently transferred to clean water, they either expelled the ingested inorganic particles in mucus-entangled clumps with the exhalant jet, or translocated the particles to the sponge surface along with local peristaltic-like contractions. The trigger levels of inorganic particles were high compared to reported re-suspended sediment concentrations in the sea, and the observed contractile responses may thus primarily serve to protect sponges from clogging during extreme environmental events.</x:v>
      </x:c>
      <x:c r="K109" s="11" t="str">
        <x:v>NO</x:v>
      </x:c>
      <x:c r="L109" s="7" t="str">
        <x:v>NOT_CONFIRMED</x:v>
      </x:c>
      <x:c r="M109" s="7" t="str"/>
      <x:c r="N109" s="7" t="str">
        <x:v>VERIFIED_DOI_DOCUMENT</x:v>
      </x:c>
      <x:c r="O109" s="7" t="str">
        <x:v>B03_NON_TROPICAL_DIRECT_MECHANISM</x:v>
      </x:c>
      <x:c r="P109" s="11" t="str">
        <x:v>HIGH</x:v>
      </x:c>
      <x:c r="Q109" s="7" t="str">
        <x:v>Demosponge Halichondria panicea (temperate, non-tropical sponge)</x:v>
      </x:c>
      <x:c r="R109" s="7" t="str">
        <x:v>Suspended particles including inorganic marl and ink particles, as well as cyanobacteria, beads, and algal cells, at known concentrations</x:v>
      </x:c>
      <x:c r="S109" s="7" t="str">
        <x:v>Contractile responses, osculum closure, particle expulsion in mucus-entangled clumps, translocation to sponge surface, cleaning, and trigger concentration thresholds</x:v>
      </x:c>
      <x:c r="T109" s="7" t="str">
        <x:v>Direct experimental testing of particle exposure on a non-tropical sponge with clear biological responses relevant to sediment effects (clogging, cleaning, contraction).</x:v>
      </x:c>
      <x:c r="U109" s="7" t="str">
        <x:v>This study directly exposes the temperate sponge Halichondria panicea to defined particle loads, including inorganic marl and ink particles, and measures contractile responses, osculum closure, and cleaning mechanisms. This meets Tier B pathway B03 (non-tropical direct mechanism) because it is a non-tropical sponge study testing a sediment/particle exposure and reporting relevant biological responses. The stressor is clearly particle-related and the responses include behavioral and physiological indicators of clogging and clearance. No exclusion applies; the organism is in scope and the sediment pathway is explicit. The abstract provides sufficient detail, so confidence is high and full text is not required.</x:v>
      </x:c>
      <x:c r="V109" s="7" t="str">
        <x:v>ALL_VERIFIED_NON_TROPICAL_TIER_B_INCLUSIONS</x:v>
      </x:c>
      <x:c r="W109" s="7" t="str">
        <x:v>TBV1-0198</x:v>
      </x:c>
    </x:row>
    <x:row r="110" ht="42" customHeight="1">
      <x:c r="A110" s="14" t="str">
        <x:v>B</x:v>
      </x:c>
      <x:c r="B110" s="7" t="str">
        <x:v>CWC-D516BB706F18</x:v>
      </x:c>
      <x:c r="C110" s="7" t="str">
        <x:v>Particulate organic matter fluxes and carbon cycling at cold-water coral reefs A three years study at the Tisler Reef, Norway</x:v>
      </x:c>
      <x:c r="D110" s="7" t="str">
        <x:v>Hannes Wagner</x:v>
      </x:c>
      <x:c r="E110" s="11" t="str">
        <x:v>2012</x:v>
      </x:c>
      <x:c r="F110" s="7" t="str"/>
      <x:c r="G110" s="7" t="str">
        <x:v>article</x:v>
      </x:c>
      <x:c r="H110" s="7" t="str"/>
      <x:c r="I110" s="7" t="str">
        <x:v>http://www.jacobs-university.de/phd/files/phd20110831_wagner.pdf</x:v>
      </x:c>
      <x:c r="J110" s="7" t="str">
        <x:v>Cold-water corals (CWC) occur throughout the world’s oceans, with the reef building coral Lophelia pertusa forming giant reefs and mounds in the Northeast Atlantic. Several important issues regarding CWC reefs remain not well understood. These include the relative contribution of different food sources to CWC ecosystem nutrition, the influence of hydrodynamic processes on reef nutrition, as well as the contribution of CWC ecosystems to benthic carbon turnover along continental margins. Within this PhD project, these issues were addressed at the Tisler cold-water coral reef (Norway) in a succession of field campaigns between 2007 and 2009, using a variety of methodological approaches. These consisted, amongst others, of the collection of CTD and chlorophyll profiles, the sampling and analyses of particulate organic matter (POM), the deployment of sediment traps, as well as the deployment of current meters, temperature sensors and oxygen sensors for time-series measurements. The environmental conditions at the Tisler Reef were found to be highly dynamic in terms of temperature and flow. Downwelling periodically delivered warmer, fresher and chlorophyll richer water masses down to the benthic boundary layer (BBL) of the downstream reef side. Particulate organic carbon (POC) content in the BBL was significantly depleted across the reef. Biodeposition was calculated to be 459 mg POC m-2 d-1 on average. Dissolved oxygen concentration within the reef structure decreased rapidly during short phases of stagnant or near stagnant flow. A community respiration rate of 981 mg C m-2 d-1 was estimated. Vertical POC fluxes measured with sediment traps supplied only ~25% of the estimated community respiration, indicating the presence of other carbon supplying mechanisms to the coral community such as biodeposition and feeding on zooplankton. These data on biodeposition, vertical carbon fluxes and respiration suggest that CWC reefs could play an important role in carbon cycling along continental margins.</x:v>
      </x:c>
      <x:c r="K110" s="11" t="str">
        <x:v>NO</x:v>
      </x:c>
      <x:c r="L110" s="7" t="str">
        <x:v>NOT_CONFIRMED</x:v>
      </x:c>
      <x:c r="M110" s="7" t="str"/>
      <x:c r="N110" s="7" t="str">
        <x:v>VERIFIED_DIRECT_DOCUMENT_URL</x:v>
      </x:c>
      <x:c r="O110" s="7" t="str">
        <x:v>B01_DEEP_COLD_SEDIMENT_EVIDENCE</x:v>
      </x:c>
      <x:c r="P110" s="11" t="str">
        <x:v>MEDIUM</x:v>
      </x:c>
      <x:c r="Q110" s="7" t="str">
        <x:v>Cold-water coral Lophelia pertusa at Tisler Reef, Norway, with ecosystem-level measurements.</x:v>
      </x:c>
      <x:c r="R110" s="7" t="str">
        <x:v>Suspended particulate matter (POM/POC) fluxes measured with sediment traps, and biodeposition of particulate carbon.</x:v>
      </x:c>
      <x:c r="S110" s="7" t="str">
        <x:v>Community respiration rate, biodeposition rate, and vertical POC flux estimates; ecological carbon cycling and reef condition.</x:v>
      </x:c>
      <x:c r="T110" s="7" t="str">
        <x:v>Deep/cold-water coral source with explicit suspended-particle/sediment-trapping pathway and biological/ecological evidence (respiration, biodeposition, carbon turnover), matching B01.</x:v>
      </x:c>
      <x:c r="U110" s="7" t="str">
        <x:v>This PhD thesis focuses on cold-water coral (Lophelia pertusa) at Tisler Reef and directly quantifies particulate organic matter fluxes using sediment traps, biodeposition, and community respiration. It provides ecological evidence linking suspended-particle supply to coral reef carbon cycling and benthic metabolism. Although the emphasis is on food supply rather than sediment stress, the explicit suspended-particle pathway and measured biological/ecological responses meet the wider Tier B inclusion criteria (B01). The abstract does not detail a stressor response, but the data on respiration and biodeposition are relevant to understanding exposure and sensitivity to sediment-related processes. Excluded from CHAIN_ONLY because the document contains direct quantitative evidence, not merely references.</x:v>
      </x:c>
      <x:c r="V110" s="7" t="str">
        <x:v>ALL_VERIFIED_CENTRAL_PEER_REVIEWED</x:v>
      </x:c>
      <x:c r="W110" s="7" t="str">
        <x:v>TBV1-0021</x:v>
      </x:c>
    </x:row>
    <x:row r="111" ht="42" customHeight="1">
      <x:c r="A111" s="14" t="str">
        <x:v>B</x:v>
      </x:c>
      <x:c r="B111" s="7" t="str">
        <x:v>CWC-6A794C242F17</x:v>
      </x:c>
      <x:c r="C111" s="7" t="str">
        <x:v>Patterns of glass sponge (Porifera, Hexactinellida) distribution in coastal waters of British Columbia, Canada</x:v>
      </x:c>
      <x:c r="D111" s="7" t="str">
        <x:v>Sally P. Leys | K. W. Wilson | Claire Holeton | HM Reiswig | W. Chandler Roberts Austin | Verena Tunnicliffe</x:v>
      </x:c>
      <x:c r="E111" s="11" t="str">
        <x:v>2004</x:v>
      </x:c>
      <x:c r="F111" s="7" t="str">
        <x:v>Marine Ecology Progress Series</x:v>
      </x:c>
      <x:c r="G111" s="7" t="str">
        <x:v>article</x:v>
      </x:c>
      <x:c r="H111" s="7" t="str">
        <x:v>10.3354/meps283133</x:v>
      </x:c>
      <x:c r="I111" s="7" t="str">
        <x:v>https://doi.org/10.3354/meps283133</x:v>
      </x:c>
      <x:c r="J111" s="7" t="str">
        <x:v>Glass sponges are enigmatic members of the deep-sea fauna that inhabit shallow waters in only a few locations world-wide. In order to understand what factors influence the distribution of glass sponges, patterns of distribution and abundance of reef and non-reef forming hexactinellids in fjords of British Columbia, Canada, were analyzed from photographs and transcripts recorded on dives undertaken by the 'Pisces IV' manned submersible during the 1980s. Hexactinellids are widely distributed throughout all fjords from 16 to 650 m depths, and in some fjords abundances reach 240 individuals in 10 m(2). In all fjords hexactinellids were most abundant at depths of 20 to 260 m, even where water depths exceeded 500 m. Glass sponges were rare in regions of inlets where oxygen levels fall below 2 ml l(-1), or in areas of high sediment deposition. Highest abundances coincided with water conditions of high dissolved silicate, low light, temperatures between 9 and 10degreesC and low suspended sediments. Extensive glass sponge skeletons in the inner basin of Howe Sound reflect past stress in this fjord that may include oxygen deficit, sediment loading from a mine and contamination from industrial sites. The observations from 'Pisces IV' suggest that glass sponges may be sentinel species for current and past seawater conditions in coastal British Columbia.</x:v>
      </x:c>
      <x:c r="K111" s="11" t="str">
        <x:v>YES</x:v>
      </x:c>
      <x:c r="L111" s="7" t="str">
        <x:v>FROZEN_PUBLIC_FULL_TEXT_LOCATION</x:v>
      </x:c>
      <x:c r="M111" s="7" t="str">
        <x:v>https://www.int-res.com/articles/meps2004/283/m283p133.pdf</x:v>
      </x:c>
      <x:c r="N111" s="7" t="str">
        <x:v>VERIFIED_DOI_DOCUMENT</x:v>
      </x:c>
      <x:c r="O111" s="7" t="str">
        <x:v>B01_DEEP_COLD_SEDIMENT_EVIDENCE</x:v>
      </x:c>
      <x:c r="P111" s="11" t="str">
        <x:v>HIGH</x:v>
      </x:c>
      <x:c r="Q111" s="7" t="str">
        <x:v>Glass sponges (Porifera, Hexactinellida), including reef- and non-reef-forming species, studied in fjords of British Columbia, Canada.</x:v>
      </x:c>
      <x:c r="R111" s="7" t="str">
        <x:v>Sediment pathway explicit in the abstract: high sediment deposition, low suspended sediments, and historical sediment loading from a mine; distribution correlates with these sediment-related factors.</x:v>
      </x:c>
      <x:c r="S111" s="7" t="str">
        <x:v>Ecological distribution and abundance patterns: sponges rare in areas of high sediment deposition; highest abundances in low-suspended-sediment conditions; extensive skeletons interpreted as evidence of past stress from sediment loading; proposed as sentinel species for seawater conditions.</x:v>
      </x:c>
      <x:c r="T111" s="7" t="str">
        <x:v>This is a cold-water sponge study directly linking sediment-related environmental factors (deposition, suspended sediment, mine-derived sediment loading) to sponge distribution, abundance, and past ecological stress. It provides indirect but explicit biological/ecological evidence suitable for Tier B, meeting B01.</x:v>
      </x:c>
      <x:c r="U111" s="7" t="str">
        <x:v>The study focuses on glass sponges in cold-water fjords and explicitly identifies sediment deposition and suspended sediments as factors influencing their distribution and abundance. It reports ecological evidence (rarity in high-deposition areas, abundance in low-sediment conditions, historical sediment stress) rather than being a purely geological or transport analysis. This fits B01_DEEP_COLD_SEDIMENT_EVIDENCE. It is preferable to CHAIN_ONLY because the record itself supplies direct sediment-sponge response evidence. It is not EXCLUDE because the sediment pathway and biological response are both present. No competing stressors override the sediment link; although oxygen and contamination are mentioned, the sediment pathway is clearly evaluated in relation to sponge ecology.</x:v>
      </x:c>
      <x:c r="V111" s="7" t="str">
        <x:v>ALL_VERIFIED_CENTRAL_PEER_REVIEWED</x:v>
      </x:c>
      <x:c r="W111" s="7" t="str">
        <x:v>TBV1-0085</x:v>
      </x:c>
    </x:row>
    <x:row r="112" ht="42" customHeight="1">
      <x:c r="A112" s="14" t="str">
        <x:v>B</x:v>
      </x:c>
      <x:c r="B112" s="7" t="str">
        <x:v>CWC-6D7646A83C58</x:v>
      </x:c>
      <x:c r="C112" s="7" t="str">
        <x:v>Patterns of oil-sediment rejection in corals</x:v>
      </x:c>
      <x:c r="D112" s="7" t="str"/>
      <x:c r="E112" s="11" t="str">
        <x:v>1977</x:v>
      </x:c>
      <x:c r="F112" s="7" t="str">
        <x:v>Deep Sea Research</x:v>
      </x:c>
      <x:c r="G112" s="7" t="str">
        <x:v>article</x:v>
      </x:c>
      <x:c r="H112" s="7" t="str">
        <x:v>10.1016/0146-6291(77)90012-1</x:v>
      </x:c>
      <x:c r="I112" s="7" t="str">
        <x:v>https://doi.org/10.1016/0146-6291(77)90012-1</x:v>
      </x:c>
      <x:c r="J112" s="7" t="str"/>
      <x:c r="K112" s="11" t="str">
        <x:v>NO</x:v>
      </x:c>
      <x:c r="L112" s="7" t="str">
        <x:v>NOT_CONFIRMED</x:v>
      </x:c>
      <x:c r="M112" s="7" t="str"/>
      <x:c r="N112" s="7" t="str">
        <x:v>VERIFIED_DOI_DOCUMENT</x:v>
      </x:c>
      <x:c r="O112" s="7" t="str">
        <x:v>B01_DEEP_COLD_SEDIMENT_EVIDENCE</x:v>
      </x:c>
      <x:c r="P112" s="11" t="str">
        <x:v>MEDIUM</x:v>
      </x:c>
      <x:c r="Q112" s="7" t="str">
        <x:v>Corals (title: 'in corals')</x:v>
      </x:c>
      <x:c r="R112" s="7" t="str">
        <x:v>Oil-sediment (explicit sediment component in exposure)</x:v>
      </x:c>
      <x:c r="S112" s="7" t="str">
        <x:v>Rejection behavior (patterns of rejection)</x:v>
      </x:c>
      <x:c r="T112" s="7" t="str">
        <x:v>Title directly indicates a study on coral responses to oil-sediment exposure, including rejection behavior, which is a relevant biological response to a sediment-related pathway. The journal 'Deep Sea Research' suggests a deep-sea context, fitting B01.</x:v>
      </x:c>
      <x:c r="U112" s="7" t="str">
        <x:v>The title unambiguously names corals and oil-sediment rejection, providing explicit evidence of a sediment-related exposure (oil-sediment) and a biological response (rejection). The journal 'Deep Sea Research' strongly implies a deep-sea or cold-water setting, aligning with B01. Although the abstract is missing, the title alone is sufficient to identify a substantive article with direct coral and sediment relevance. I selected TIER_B_INCLUDE over CHAIN_ONLY because the document itself appears to present coral-specific sediment evidence, not just a reference source. The closest alternative would be EXCLUDE if the study focused solely on oil toxicity without a sediment pathway, but the title explicitly includes sediment, making inclusion appropriate. Confidence is medium due to lack of abstract and potential ambiguity about the exact coral habitat.</x:v>
      </x:c>
      <x:c r="V112" s="7" t="str">
        <x:v>ALL_VERIFIED_CENTRAL_PEER_REVIEWED</x:v>
      </x:c>
      <x:c r="W112" s="7" t="str">
        <x:v>TBV1-0213</x:v>
      </x:c>
    </x:row>
    <x:row r="113" ht="42" customHeight="1">
      <x:c r="A113" s="14" t="str">
        <x:v>B</x:v>
      </x:c>
      <x:c r="B113" s="7" t="str">
        <x:v>CWC-CBADD92BEB3D</x:v>
      </x:c>
      <x:c r="C113" s="7" t="str">
        <x:v>Cold-water coral reefs (UK BAP Priority Habitat description)</x:v>
      </x:c>
      <x:c r="D113" s="7" t="str"/>
      <x:c r="E113" s="11" t="str"/>
      <x:c r="F113" s="7" t="str">
        <x:v>JNCC</x:v>
      </x:c>
      <x:c r="G113" s="7" t="str">
        <x:v>government_report</x:v>
      </x:c>
      <x:c r="H113" s="7" t="str"/>
      <x:c r="I113" s="7" t="str">
        <x:v>https://data.jncc.gov.uk/data/0a9b6b43-4827-44a4-ab06-0f94d5ad6b93/UKBAP-BAPHabitats-11-ColdCoralReefs.pdf</x:v>
      </x:c>
      <x:c r="J113" s="7" t="str">
        <x:v>2005; Dodds et al, 2007; Davies et al, 2008). Relevant biotopes SS.SBR.Crl.Lop – Coral reefs SS.SBR.Crl.Lop – Lophelia reefs Current and potential threats  Fisheries: Trawling  Offshore Industry: Physical damage from construction and smothering resulting from the associated discharges of drilling mud and drill cuttings.  Eutrophication: Resulting from discharges of land-based activities (Hall-Spencer, University of Plymouth, pers. comm., 2008)  Scientific sampling: Given the slow growth [...] Lophelia pertusa, a cold-water, reef-forming coral, has a wide geographic distribution ranging fro</x:v>
      </x:c>
      <x:c r="K113" s="11" t="str">
        <x:v>YES</x:v>
      </x:c>
      <x:c r="L113" s="7" t="str">
        <x:v>FROZEN_PUBLIC_FULL_TEXT_LOCATION</x:v>
      </x:c>
      <x:c r="M113" s="7" t="str">
        <x:v>https://data.jncc.gov.uk/data/0a9b6b43-4827-44a4-ab06-0f94d5ad6b93/UKBAP-BAPHabitats-11-ColdCoralReefs.pdf</x:v>
      </x:c>
      <x:c r="N113" s="7" t="str">
        <x:v>VERIFIED_DIRECT_DOCUMENT_URL</x:v>
      </x:c>
      <x:c r="O113" s="7" t="str">
        <x:v>B02_DEEP_COLD_REVIEW_ASSESSMENT</x:v>
      </x:c>
      <x:c r="P113" s="11" t="str">
        <x:v>HIGH</x:v>
      </x:c>
      <x:c r="Q113" s="7" t="str">
        <x:v>Cold-water reef-forming coral Lophelia pertusa; associated cold-water coral reef habitats.</x:v>
      </x:c>
      <x:c r="R113" s="7" t="str">
        <x:v>Smothering from discharges of drilling mud and drill cuttings associated with offshore industry construction activities.</x:v>
      </x:c>
      <x:c r="S113" s="7" t="str">
        <x:v>Habitat description and threat assessment identifying smothering by drilling discharges as a current threat to cold-water coral reefs; the document supports understanding vulnerability and potential impacts.</x:v>
      </x:c>
      <x:c r="T113" s="7" t="str">
        <x:v>Substantive UK government habitat description/assessment for cold-water coral reefs with a direct sediment-related impact pathway (drilling mud/cuttings smothering) and management/conservation relevance.</x:v>
      </x:c>
      <x:c r="U113" s="7" t="str">
        <x:v>This record is a JNCC UK BAP Priority Habitat description for cold-water coral reefs. The snippet explicitly identifies smothering from drilling mud and drill cuttings as a threat to Lophelia pertusa reefs. This constitutes a substantive government assessment document with a direct sediment-impact focus, meeting Tier B category B02. The organism is unequivocally a cold-water coral, the pathway is sediment/drill cuttings deposition, and the document has clear conservation and impact-assessment value. The decision is TIER_B_INCLUDE over EXCLUDE because the sediment pathway is explicit and not merely a habitat description; over CHAIN_ONLY because it has substantive sediment-threat evidence.</x:v>
      </x:c>
      <x:c r="V113" s="7" t="str">
        <x:v>ALL_VERIFIED_NON_TROPICAL_TIER_B_INCLUSIONS</x:v>
      </x:c>
      <x:c r="W113" s="7" t="str">
        <x:v>TBV1-0029</x:v>
      </x:c>
    </x:row>
    <x:row r="114" ht="42" customHeight="1">
      <x:c r="A114" s="14" t="str">
        <x:v>B</x:v>
      </x:c>
      <x:c r="B114" s="7" t="str">
        <x:v>CWC-381499072777</x:v>
      </x:c>
      <x:c r="C114" s="7" t="str">
        <x:v>Corals and Sponges</x:v>
      </x:c>
      <x:c r="D114" s="7" t="str"/>
      <x:c r="E114" s="11" t="str"/>
      <x:c r="F114" s="7" t="str">
        <x:v>Fisheries and Oceans Canada</x:v>
      </x:c>
      <x:c r="G114" s="7" t="str">
        <x:v>government_report</x:v>
      </x:c>
      <x:c r="H114" s="7" t="str"/>
      <x:c r="I114" s="7" t="str">
        <x:v>https://www.dfo-mpo.gc.ca/pnw-ppe/ffhpp-ppph/doc/nfl-coral-sponge-guidance-directives-coraux-eponges/NL-coral-sponge-guidance-summary-eng.pdf</x:v>
      </x:c>
      <x:c r="J114" s="7" t="str">
        <x:v>decision by a proponent, with supporting rationale provided to the C-NLOPB and DFO. Both options will consider: • abundance and spatial distribution of the five functional groups: sea pens, small gorgonians, large gorgonians, black corals, and sponges (see Annex A, Technical document); • vulnerability of functional groups (e.g black corals are rare on continental shelf with a longer life span and rigid fragile skeleton); • overlapping functional groups; and • the footprint of the well and [...] PHASE 2: DURING DRILLING Management of drill cuttings and muds In areas with aggregations of habitat</x:v>
      </x:c>
      <x:c r="K114" s="11" t="str">
        <x:v>YES</x:v>
      </x:c>
      <x:c r="L114" s="7" t="str">
        <x:v>FROZEN_PUBLIC_FULL_TEXT_LOCATION</x:v>
      </x:c>
      <x:c r="M114" s="7" t="str">
        <x:v>https://www.dfo-mpo.gc.ca/pnw-ppe/ffhpp-ppph/doc/nfl-coral-sponge-guidance-directives-coraux-eponges/NL-coral-sponge-guidance-summary-eng.pdf</x:v>
      </x:c>
      <x:c r="N114" s="7" t="str">
        <x:v>VERIFIED_DIRECT_DOCUMENT_URL</x:v>
      </x:c>
      <x:c r="O114" s="7" t="str">
        <x:v>B02_DEEP_COLD_REVIEW_ASSESSMENT</x:v>
      </x:c>
      <x:c r="P114" s="11" t="str">
        <x:v>HIGH</x:v>
      </x:c>
      <x:c r="Q114" s="7" t="str">
        <x:v>Corals and sponges, including five functional groups: sea pens, small gorgonians, large gorgonians, black corals, and sponges.</x:v>
      </x:c>
      <x:c r="R114" s="7" t="str">
        <x:v>Management of drill cuttings and muds during drilling, representing sediment-related depositional pathways.</x:v>
      </x:c>
      <x:c r="S114" s="7" t="str">
        <x:v>Vulnerability assessment of functional groups and decision framework for drilling activities, addressing potential impacts on coral and sponge habitat.</x:v>
      </x:c>
      <x:c r="T114" s="7" t="str">
        <x:v>A substantive government regulatory guidance document focused on sediment impacts (drill cuttings/muds) on cold-water corals and sponges, providing assessment criteria for mitigation.</x:v>
      </x:c>
      <x:c r="U114" s="7" t="str">
        <x:v>This is a Fisheries and Oceans Canada guidance document specifically about corals and sponges, with direct focus on managing drill cuttings and muds in areas with coral/sponge aggregations. It includes vulnerability considerations for functional groups, fulfilling the B02 pathway for a regulatory assessment with direct sediment-impact relevance. The closest alternative would be exclusion for lack of primary data, but as a government report it is explicitly eligible. Thus TIER_B_INCLUDE is appropriate.</x:v>
      </x:c>
      <x:c r="V114" s="7" t="str">
        <x:v>ALL_VERIFIED_CSAS</x:v>
      </x:c>
      <x:c r="W114" s="7" t="str">
        <x:v>TBV1-0130</x:v>
      </x:c>
    </x:row>
    <x:row r="115" ht="42" customHeight="1">
      <x:c r="A115" s="14" t="str">
        <x:v>B</x:v>
      </x:c>
      <x:c r="B115" s="7" t="str">
        <x:v>CWC-2CA6983F9BE0</x:v>
      </x:c>
      <x:c r="C115" s="7" t="str">
        <x:v>EL1165B Drill Cuttings Monitoring Report</x:v>
      </x:c>
      <x:c r="D115" s="7" t="str"/>
      <x:c r="E115" s="11" t="str"/>
      <x:c r="F115" s="7" t="str">
        <x:v>ExxonMobil Canada Ltd.</x:v>
      </x:c>
      <x:c r="G115" s="7" t="str">
        <x:v>monitoring_report</x:v>
      </x:c>
      <x:c r="H115" s="7" t="str"/>
      <x:c r="I115" s="7" t="str">
        <x:v>https://exploration.exxonmobilcanada.ca/s/EL1165B-Drill-Cuttings-Monitoring-Report-final.pdf</x:v>
      </x:c>
      <x:c r="J115" s="7" t="str">
        <x:v>of the follow-up monitoring program as set out in the Eastern Newfoundland Offshore Exploration Drilling Project Environment Impact Statement (EIS) (EMCL 2017) as well as requirements set out in the Canadian Environmental Assessment Act (2012) Decision Statement (CEA Agency 2019). The follow-up program is based upon a regulatory agency approved monitoring plan (EMCL 2020) that was submitted in March 2020. The follow-up monitoring results are reported as part of a series of reports. The Drill [...] and Monitoring 2020 Report (Final) Wood Project #: TA1913215 23 February 2021 Environment &amp; Infra</x:v>
      </x:c>
      <x:c r="K115" s="11" t="str">
        <x:v>YES</x:v>
      </x:c>
      <x:c r="L115" s="7" t="str">
        <x:v>FROZEN_PUBLIC_FULL_TEXT_LOCATION</x:v>
      </x:c>
      <x:c r="M115" s="7" t="str">
        <x:v>https://exploration.exxonmobilcanada.ca/s/EL1165B-Drill-Cuttings-Monitoring-Report-final.pdf</x:v>
      </x:c>
      <x:c r="N115" s="7" t="str">
        <x:v>VERIFIED_DIRECT_DOCUMENT_URL</x:v>
      </x:c>
      <x:c r="O115" s="7" t="str">
        <x:v>B02_DEEP_COLD_REVIEW_ASSESSMENT</x:v>
      </x:c>
      <x:c r="P115" s="11" t="str">
        <x:v>MEDIUM</x:v>
      </x:c>
      <x:c r="Q115" s="7" t="str">
        <x:v>Likely cold-water corals and sponges in the Newfoundland offshore area, as the report is a follow-up monitoring program for an offshore exploration drilling project.</x:v>
      </x:c>
      <x:c r="R115" s="7" t="str">
        <x:v>Drill cuttings and associated drilling discharges are the explicit sediment pathway evaluated.</x:v>
      </x:c>
      <x:c r="S115" s="7" t="str">
        <x:v>The report provides monitoring results and assessment of environmental effects as required by the Canadian Environmental Assessment Act and an approved monitoring plan.</x:v>
      </x:c>
      <x:c r="T115" s="7" t="str">
        <x:v>Substantive monitoring report with a direct sediment-impact focus (drill cuttings) in a deep-cold offshore region, capable of informing effects, exposure, thresholds, or recovery for corals and sponges.</x:v>
      </x:c>
      <x:c r="U115" s="7" t="str">
        <x:v>This document is a formal drill cuttings monitoring report prepared for a regulatory follow-up program in the Eastern Newfoundland offshore area. The title and abstract establish it as a substantive monitoring/assessment document with a clear sediment pathway (drill cuttings) and environmental effects monitoring context. Given the region, cold-water corals and sponges are plausible receptors, and the report likely contains relevant biological or ecological evidence. Although the snippet does not explicitly name corals or sponges, the document type and regulatory context justify inclusion under B02 as a deep/cold review/assessment with direct sediment-impact focus. It is preferable to CHAIN_ONLY because the report itself is effect-monitoring rather than merely a source of references. Full-text review is needed to confirm the extent of coral/sponge content.</x:v>
      </x:c>
      <x:c r="V115" s="7" t="str">
        <x:v>ALL_VERIFIED_NON_TROPICAL_TIER_B_INCLUSIONS</x:v>
      </x:c>
      <x:c r="W115" s="7" t="str">
        <x:v>TBV1-0200</x:v>
      </x:c>
    </x:row>
    <x:row r="116" ht="42" customHeight="1">
      <x:c r="A116" s="14" t="str">
        <x:v>B</x:v>
      </x:c>
      <x:c r="B116" s="7" t="str">
        <x:v>GLV4-605BA7F679D4</x:v>
      </x:c>
      <x:c r="C116" s="7" t="str">
        <x:v>THE EFFECTS OF SEDIMENTATION IN THE DEEP SEA - NIWA</x:v>
      </x:c>
      <x:c r="D116" s="7" t="str"/>
      <x:c r="E116" s="11" t="str"/>
      <x:c r="F116" s="7" t="str">
        <x:v>niwa.co.nz</x:v>
      </x:c>
      <x:c r="G116" s="7" t="str">
        <x:v>report</x:v>
      </x:c>
      <x:c r="H116" s="7" t="str"/>
      <x:c r="I116" s="7" t="str">
        <x:v>https://niwa.co.nz/sites/default/files/Clark_etal_2021NZMSSpresentation-program_ROBES-NIWA.pdf</x:v>
      </x:c>
      <x:c r="J116" s="7" t="str">
        <x:v>• Sediment experiments - effects of capping with fine sediment • Infauna responses to disturbance of infauna-do they recover? • Experimental exposure of corals-is there a threshold of suspended sediment when impact is serious? [...] • 5mm, marked reduction in DO penetration • Development of anoxic sediments Benthic Infauna • Multicore samples Before (Pre-), after (1 week Post), and After (1 year Post) • Meio- and macro-fauna results • Meio: segregation of 0-1 cm and 1-5 cm communities, return to pre-disturbance 1 year after more in 0-1 cm than 1-5 cm (depth effect) • Macro: illustration of dec</x:v>
      </x:c>
      <x:c r="K116" s="11" t="str">
        <x:v>YES</x:v>
      </x:c>
      <x:c r="L116" s="7" t="str">
        <x:v>PUBLIC_FULL_DOCUMENT_LOCATION</x:v>
      </x:c>
      <x:c r="M116" s="7" t="str">
        <x:v>https://niwa.co.nz/sites/default/files/Clark_etal_2021NZMSSpresentation-program_ROBES-NIWA.pdf</x:v>
      </x:c>
      <x:c r="N116" s="7" t="str">
        <x:v>VERIFIED_DIRECT_DOCUMENT_URL</x:v>
      </x:c>
      <x:c r="O116" s="7" t="str">
        <x:v>B01_DEEP_COLD_SEDIMENT_EVIDENCE</x:v>
      </x:c>
      <x:c r="P116" s="11" t="str">
        <x:v>HIGH</x:v>
      </x:c>
      <x:c r="Q116" s="7" t="str">
        <x:v>Deep-sea corals (and infauna) – experimental exposure to suspended sediment.</x:v>
      </x:c>
      <x:c r="R116" s="7" t="str">
        <x:v>Suspended sediment, fine sediment capping, and sedimentation in the deep sea.</x:v>
      </x:c>
      <x:c r="S116" s="7" t="str">
        <x:v>Threshold of suspended sediment for serious impact on corals; infauna recovery and anoxic sediment development.</x:v>
      </x:c>
      <x:c r="T116" s="7" t="str">
        <x:v>B01_DEEP_COLD_SEDIMENT_EVIDENCE: direct deep-sea coral sediment exposure experiments with threshold assessment.</x:v>
      </x:c>
      <x:c r="U116" s="7" t="str">
        <x:v>The NIWA presentation directly addresses deep-sea sedimentation effects, explicitly including experimental exposure of corals to suspended sediment and asking about impact thresholds. This provides direct biological evidence for sediment impacts on deep-sea corals, meeting B01. The snippet also covers infauna recovery, but coral evidence is separate. It is a substantive presentation, not a mere landing page. The reason code B01 is preferred over B03 because the focus is deep-sea (cold-water) corals, and over B02 as it is primary experimental evidence rather than a review. Excluded alternatives are not applicable.</x:v>
      </x:c>
      <x:c r="V116" s="7" t="str">
        <x:v>ALL_VERIFIED_NON_TROPICAL_TIER_B_INCLUSIONS</x:v>
      </x:c>
      <x:c r="W116" s="7" t="str">
        <x:v>TBV1-0412</x:v>
      </x:c>
    </x:row>
    <x:row r="117" ht="42" customHeight="1">
      <x:c r="A117" s="14" t="str">
        <x:v>B</x:v>
      </x:c>
      <x:c r="B117" s="7" t="str">
        <x:v>CWC-775336C20A96</x:v>
      </x:c>
      <x:c r="C117" s="7" t="str">
        <x:v>Photo-physiological costs associated with acute sediment stress events in three near-shore turbid water corals</x:v>
      </x:c>
      <x:c r="D117" s="7" t="str">
        <x:v>Nicola K. Browne | Elimar Precht | KS Last | PA Todd</x:v>
      </x:c>
      <x:c r="E117" s="11" t="str">
        <x:v>2014</x:v>
      </x:c>
      <x:c r="F117" s="7" t="str">
        <x:v>Marine Ecology Progress Series</x:v>
      </x:c>
      <x:c r="G117" s="7" t="str">
        <x:v>article</x:v>
      </x:c>
      <x:c r="H117" s="7" t="str">
        <x:v>10.3354/meps10714</x:v>
      </x:c>
      <x:c r="I117" s="7" t="str">
        <x:v>https://doi.org/10.3354/meps10714</x:v>
      </x:c>
      <x:c r="J117" s="7" t="str">
        <x:v>Many coral reef communities thriving in inshore coastal waters characterised by chronically high natural turbidity (&gt; 5 mg l(-1)) have adapted to low light ( 170 mg l(-1), while Platygyra was most tolerant (P/R &gt; 1.0). Fluorescence yield data suggest that the rapid photo-acclimation ability of Platygyra enabled it to maintain a positive carbon budget during the experiments, illustrating species-specific responses to acute sediment stress events.</x:v>
      </x:c>
      <x:c r="K117" s="11" t="str">
        <x:v>YES</x:v>
      </x:c>
      <x:c r="L117" s="7" t="str">
        <x:v>FROZEN_PUBLIC_FULL_TEXT_LOCATION</x:v>
      </x:c>
      <x:c r="M117" s="7" t="str">
        <x:v>https://www.int-res.com/articles/meps2014/502/m502p129.pdf</x:v>
      </x:c>
      <x:c r="N117" s="7" t="str">
        <x:v>VERIFIED_DOI_DOCUMENT</x:v>
      </x:c>
      <x:c r="O117" s="7" t="str">
        <x:v>B04_TROPICAL_PHYSICAL_SEDIMENT_ANALOGUE</x:v>
      </x:c>
      <x:c r="P117" s="11" t="str">
        <x:v>HIGH</x:v>
      </x:c>
      <x:c r="Q117" s="7" t="str">
        <x:v>Three Indo-Pacific inshore turbid-water corals: Merulina ampliata, Pachyseris speciosa, and Platygyra sinensis.</x:v>
      </x:c>
      <x:c r="R117" s="7" t="str">
        <x:v>Acute sediment resuspension events: turbidity 100, 170, 240 mg/L and sedimentation rates 4, 9, 13 mg/cm2/h; experimentally delivered via a sediment delivery system.</x:v>
      </x:c>
      <x:c r="S117" s="7" t="str">
        <x:v>Measured respiration, net photosynthesis, maximum quantum yield, and photosynthesis-to-respiration ratios; showed species-specific metabolic responses and carbon budget impacts.</x:v>
      </x:c>
      <x:c r="T117" s="7" t="str">
        <x:v>Direct experimental test of physical sediment exposure on tropical corals reporting relevant physiological responses, qualifying under B04.</x:v>
      </x:c>
      <x:c r="U117" s="7" t="str">
        <x:v>This study directly exposes tropical corals to acute sediment resuspension and quantifies physiological responses (respiration, photosynthesis, P/R ratio, fluorescence). The sediment pathway is explicit and experimentally controlled, and the response metrics are clearly relevant to turbidity and deposition impacts. Thus it meets B04_TROPICAL_PHYSICAL_SEDIMENT_ANALOGUE. The closest alternative, B03, is less appropriate because the corals are tropical, not temperate/polar/mesophotic. The experimental design and abstract-level results provide sufficient evidence, so confidence is HIGH.</x:v>
      </x:c>
      <x:c r="V117" s="7" t="str">
        <x:v>SPARING_TOP_25_TROPICAL_DIRECT_PHYSICAL_ANALOGUES</x:v>
      </x:c>
      <x:c r="W117" s="7" t="str">
        <x:v>TBV1-1189</x:v>
      </x:c>
    </x:row>
    <x:row r="118" ht="42" customHeight="1">
      <x:c r="A118" s="14" t="str">
        <x:v>B</x:v>
      </x:c>
      <x:c r="B118" s="7" t="str">
        <x:v>CWC-900375A4F185</x:v>
      </x:c>
      <x:c r="C118" s="7" t="str">
        <x:v>QUATERNARY BUILD-UPS AND RHODALGAL CARBONATES ALONG THE ADRIATIC AND IONIAN COASTS OF THE ITALIAN PENINSULA: A REVIEW</x:v>
      </x:c>
      <x:c r="D118" s="7" t="str">
        <x:v>Giovanni Coletti | Valentina Alice Bracchi | Fabio Marchese | Daniela Basso | Alessandra Savini | Agostina Vertino | Cesare Corselli</x:v>
      </x:c>
      <x:c r="E118" s="11" t="str">
        <x:v>2018</x:v>
      </x:c>
      <x:c r="F118" s="7" t="str">
        <x:v>Ghent University Academic Bibliography (Ghent University)</x:v>
      </x:c>
      <x:c r="G118" s="7" t="str">
        <x:v>article</x:v>
      </x:c>
      <x:c r="H118" s="7" t="str">
        <x:v>10.13130/2039-4942/10269</x:v>
      </x:c>
      <x:c r="I118" s="7" t="str">
        <x:v>https://doi.org/10.13130/2039-4942/10269</x:v>
      </x:c>
      <x:c r="J118" s="7" t="str">
        <x:v>In the Mediterranean, build-ups (created by coralline algae, Cladocora caespitosa, deep-water corals, vermetids, polychaetes and bacteria) and rhodolith beds are important hot-spots of biodiversity. Being severely threatened by anthropogenic impact and climate change, they have been included in international directives on environmental protection. This work wants to support the ongoing research on modern bioconstructions by providing further data on the long-term effects of environmental factors on these habitats. Our results are based on the analysis of the existing literature on the outcropping Quaternary successions of the Adriatic and Ionian coasts of peninsular Italy. The existing reports of build-ups and rhodalgal carbonates have been summarized in an homogeneous data-set and then studied to highlight distribution patterns in space and time. The analyses consistently outlined the importance of sedimentation rate in controlling the general distribution of build-ups and rhodalgal carbonates. The majority of the reports is concentrated south of the Gargano, where the sediment-load of the rivers is small. The majority of the reports is related to coralline algae, suggesting that they were the main carbonate producers during the period. C. caespitosa general distribution is mainly controlled by temperature, with most of the occurrences dating back to the warm periods of the late Ionian and of the Tarantian. Large build-ups of Cladocora are restricted to embayments and gulfs well-protected against storm waves. The distribution of the outcrops of deep-water corals is biased by the geological setting. A remarkable uplift is necessary to bring these corals from their original deep-water setting to elevated areas onshore. Consequently, most of the outcrops are in Southern Calabria which is characterized by a strong Quaternary uplift. Chemosynthetic build-ups, intertidal bioconstructions (made by vermetids, polychaetes or coralline algae), as well as stromatolites, are rare in the study area.</x:v>
      </x:c>
      <x:c r="K118" s="11" t="str">
        <x:v>NO</x:v>
      </x:c>
      <x:c r="L118" s="7" t="str">
        <x:v>NOT_CONFIRMED</x:v>
      </x:c>
      <x:c r="M118" s="7" t="str"/>
      <x:c r="N118" s="7" t="str">
        <x:v>VERIFIED_DOI_DOCUMENT</x:v>
      </x:c>
      <x:c r="O118" s="7" t="str">
        <x:v>B02_DEEP_COLD_REVIEW_ASSESSMENT</x:v>
      </x:c>
      <x:c r="P118" s="11" t="str">
        <x:v>HIGH</x:v>
      </x:c>
      <x:c r="Q118" s="7" t="str">
        <x:v>Deep-water corals, Cladocora caespitosa, coralline algae, other Mediterranean bioconstructor organisms.</x:v>
      </x:c>
      <x:c r="R118" s="7" t="str">
        <x:v>Sedimentation rate is explicitly highlighted as a controlling factor in the distribution of build-ups and rhodalgal carbonates.</x:v>
      </x:c>
      <x:c r="S118" s="7" t="str">
        <x:v>Assessment of long-term environmental effects, particularly sedimentation rate, on the spatial and temporal distribution of these habitats via literature synthesis.</x:v>
      </x:c>
      <x:c r="T118" s="7" t="str">
        <x:v>Substantive review focused on Mediterranean build-ups including deep-water corals, assessing the role of sedimentation rate and other environmental factors on their distribution, with direct relevance to sediment-impact understanding.</x:v>
      </x:c>
      <x:c r="U118" s="7" t="str">
        <x:v>This is a substantive review article that explicitly addresses the role of sedimentation rate in controlling the distribution of Mediterranean carbonate build-ups, including deep-water corals and coralline algae. It qualifies under B02 as a deep/cold coral review with direct sediment-impact focus, providing synthesized evidence on environmental controls. The closest alternative would be B01, but the document is a review/assessment rather than primary empirical evidence. It is not excluded because it clearly identifies coral and sediment pathways and provides ecological/assessment information.</x:v>
      </x:c>
      <x:c r="V118" s="7" t="str">
        <x:v>ALL_VERIFIED_CENTRAL_PEER_REVIEWED</x:v>
      </x:c>
      <x:c r="W118" s="7" t="str">
        <x:v>TBV1-0126</x:v>
      </x:c>
    </x:row>
    <x:row r="119" ht="42" customHeight="1">
      <x:c r="A119" s="14" t="str">
        <x:v>B</x:v>
      </x:c>
      <x:c r="B119" s="7" t="str">
        <x:v>CWC-45E512F8B2C7</x:v>
      </x:c>
      <x:c r="C119" s="7" t="str">
        <x:v>Real time observation system for monitoring environmental impact on marine ecosystems from oil drilling operations</x:v>
      </x:c>
      <x:c r="D119" s="7" t="str">
        <x:v>Olav Rune Godø | Jarle Klungsøyr | Sonnich Meier | Eirik Tenningen | Autun Purser | Laurenz Thomsen</x:v>
      </x:c>
      <x:c r="E119" s="11" t="str">
        <x:v>2014</x:v>
      </x:c>
      <x:c r="F119" s="7" t="str">
        <x:v>Marine Pollution Bulletin</x:v>
      </x:c>
      <x:c r="G119" s="7" t="str">
        <x:v>article</x:v>
      </x:c>
      <x:c r="H119" s="7" t="str">
        <x:v>10.1016/j.marpolbul.2014.05.007</x:v>
      </x:c>
      <x:c r="I119" s="7" t="str">
        <x:v>https://doi.org/10.1016/j.marpolbul.2014.05.007</x:v>
      </x:c>
      <x:c r="J119" s="7" t="str">
        <x:v>Environmental awareness and technological advances has spurred development of new monitoring solutions for the petroleum industry. This paper presents experience from a monitoring program off Norway. To maintain operation within the limits of the government regulations Statoil tested a new monitoring concept. Multisensory data were cabled to surface buoys and transmitted to land via wireless communication. The system collected information about distribution of the drilling wastes and the welfare of the corals in relation to threshold values. The project experienced a series of failures, but the backup monitoring provided information to fulfil the requirements of the permit. The experience demonstrated the need for real time monitoring and how such systems enhance understanding of impacts on marine organisms. Also, drilling operations may improve by taking environmental information into account. The paper proposes to standardize and streamline monitoring protocols to maintain comparability during all phases of the operation and between drill sites. (C) 2014 Elsevier Ltd. All rights reserved.</x:v>
      </x:c>
      <x:c r="K119" s="11" t="str">
        <x:v>NO</x:v>
      </x:c>
      <x:c r="L119" s="7" t="str">
        <x:v>NOT_CONFIRMED</x:v>
      </x:c>
      <x:c r="M119" s="7" t="str"/>
      <x:c r="N119" s="7" t="str">
        <x:v>VERIFIED_DOI_DOCUMENT</x:v>
      </x:c>
      <x:c r="O119" s="7" t="str">
        <x:v>B01_DEEP_COLD_SEDIMENT_EVIDENCE</x:v>
      </x:c>
      <x:c r="P119" s="11" t="str">
        <x:v>HIGH</x:v>
      </x:c>
      <x:c r="Q119" s="7" t="str">
        <x:v>Corals (likely cold-water) off Norway</x:v>
      </x:c>
      <x:c r="R119" s="7" t="str">
        <x:v>Drilling wastes (cuttings/mud) distribution</x:v>
      </x:c>
      <x:c r="S119" s="7" t="str">
        <x:v>Coral welfare monitored against threshold values; system enhances understanding of impacts</x:v>
      </x:c>
      <x:c r="T119" s="7" t="str">
        <x:v>Direct deep/cold coral monitoring linked to drilling waste exposure and biological condition relative to thresholds.</x:v>
      </x:c>
      <x:c r="U119" s="7" t="str">
        <x:v>This article describes a monitoring program off Norway that collected data on drilling waste distribution and coral welfare relative to threshold values. The stressor is explicitly sediment-related drilling waste, and the response is biological condition of corals. This meets Tier B pathway B01 for deep/cold sediment evidence. The closest alternative B02 is not chosen because the document is a primary monitoring article rather than a review or assessment. The explicit mention of coral welfare and threshold values provides strong evidence of a sediment-impact focus.</x:v>
      </x:c>
      <x:c r="V119" s="7" t="str">
        <x:v>ALL_VERIFIED_CENTRAL_PEER_REVIEWED</x:v>
      </x:c>
      <x:c r="W119" s="7" t="str">
        <x:v>TBV1-0218</x:v>
      </x:c>
    </x:row>
    <x:row r="120" ht="42" customHeight="1">
      <x:c r="A120" s="14" t="str">
        <x:v>B</x:v>
      </x:c>
      <x:c r="B120" s="7" t="str">
        <x:v>CWC-9635B2F7A209</x:v>
      </x:c>
      <x:c r="C120" s="7" t="str">
        <x:v>Recovery at Morvin: SERPENT final report</x:v>
      </x:c>
      <x:c r="D120" s="7" t="str">
        <x:v>Andrew R. Gates | Daniel O. B. Jones</x:v>
      </x:c>
      <x:c r="E120" s="11" t="str">
        <x:v>2010</x:v>
      </x:c>
      <x:c r="F120" s="7" t="str">
        <x:v>ePrints Soton (University of Southampton)</x:v>
      </x:c>
      <x:c r="G120" s="7" t="str">
        <x:v>book</x:v>
      </x:c>
      <x:c r="H120" s="7" t="str"/>
      <x:c r="I120" s="7" t="str">
        <x:v>https://eprints.soton.ac.uk/194195/1/NOCSR_26C_86_Morvin.pdf</x:v>
      </x:c>
      <x:c r="J120" s="7" t="str">
        <x:v>Recovery from disturbance is poorly understood in deep water, but the extent of anthropogenic impacts is becoming increasingly well documented. We used Remotely Operated Vehicles (ROV) to visually assess the change in benthic habitat after exploratory hydrocarbon drilling disturbance around the Morvin well located at 380m depth in the Norwegian Sea. An ROV, launched directly from the rig drilling the well in 2006 was used to carry out video transects around the well before drilling and immediately after. On a return to the site three years after disturbance a larger survey was conducted with a ship-launched ROV in 2009. Transects were repeated at the disturbed area and random background transects were taken. Visible drill cuttings were mapped for each survey, and positions and counts of epibenthic invertebrate megafauna were determined, revealing a fauna dominated by Cnidaria (45% of total observations) and Porifera (33%). Immediately after disturbance a visible cuttings pile extended to over 100m from the well and megafaunal density was significantly reduced (0.07 individuals m-2) in comparison to pre-drill data (0.23 ind. m-2). Three years later the visible extent of the cuttings pile had reduced in size, reaching 60m from the well and considerably less in some headings. In comparison to background transects (0.21 ind. m-2), megafaunal density was significantly reduced on the remaining cuttings (0.04m-2), but beyond the visible disturbance there was no significant difference (0.15m-2). The investigation at this site shows a return to background densities of megafaunal organisms over a large extent of the area previously disturbed. However a central area, where the initial cuttings pile was deepest, demonstrated reduced sessile megafaunal density which persisted three years after disturbance. Elevated Barium concentration and reduced sediment grain size suggests persistence of disturbance beyond the remaining visibly impacted area which may result in changes to the infaunal communities undetectable by ROV video survey.</x:v>
      </x:c>
      <x:c r="K120" s="11" t="str">
        <x:v>NO</x:v>
      </x:c>
      <x:c r="L120" s="7" t="str">
        <x:v>NOT_CONFIRMED</x:v>
      </x:c>
      <x:c r="M120" s="7" t="str"/>
      <x:c r="N120" s="7" t="str">
        <x:v>VERIFIED_DIRECT_DOCUMENT_URL</x:v>
      </x:c>
      <x:c r="O120" s="7" t="str">
        <x:v>B01_DEEP_COLD_SEDIMENT_EVIDENCE</x:v>
      </x:c>
      <x:c r="P120" s="11" t="str">
        <x:v>HIGH</x:v>
      </x:c>
      <x:c r="Q120" s="7" t="str">
        <x:v>Deep-sea benthic megafauna dominated by Cnidaria (45%) and Porifera (33%), indicating cold-water coral and sponge communities.</x:v>
      </x:c>
      <x:c r="R120" s="7" t="str">
        <x:v>Drill cuttings and drilling disturbance from exploratory hydrocarbon drilling at Morvin well, Norwegian Sea, at 380m depth; visible cuttings pile extended over 100m from well immediately after disturbance and 60m after three years.</x:v>
      </x:c>
      <x:c r="S120" s="7" t="str">
        <x:v>Megafaunal density significantly reduced immediately after disturbance (0.07 ind/m2 vs pre-drill 0.23 ind/m2); three years later density on remaining cuttings was 0.04 ind/m2 vs background 0.21 ind/m2; reduced density persisted in central area where cuttings pile was deepest; elevated barium and reduced sediment grain size indicate persistent disturbance.</x:v>
      </x:c>
      <x:c r="T120" s="7" t="str">
        <x:v>This is a monitoring report of recovery after drilling disturbance in deep water, with explicit sediment pathway (drill cuttings) and biological impact evidence (megafaunal density changes) in a community dominated by corals and sponges, meeting B01_DEEP_COLD_SEDIMENT_EVIDENCE.</x:v>
      </x:c>
      <x:c r="U120" s="7" t="str">
        <x:v>The report directly assesses the effect of drill cuttings (a sediment/deposition pathway) on deep-sea benthic megafauna dominated by Cnidaria and Porifera. It provides quantitative before-after-impact data showing reduced densities and incomplete recovery after three years. This qualifies as B01 because it is a deep-sea/cold-water coral/sponge source with explicit sediment pathway and biological evidence. It is preferred over B02 (a review/assessment) because it is primary monitoring evidence, and over CHAIN_ONLY because it has direct target content. The only alternative would be EXCLUDE if the response were not separable for corals/sponges, but the dominance of these taxa makes the impact highly relevant.</x:v>
      </x:c>
      <x:c r="V120" s="7" t="str">
        <x:v>ALL_VERIFIED_NON_TROPICAL_TIER_B_INCLUSIONS</x:v>
      </x:c>
      <x:c r="W120" s="7" t="str">
        <x:v>TBV1-0061</x:v>
      </x:c>
    </x:row>
    <x:row r="121" ht="42" customHeight="1">
      <x:c r="A121" s="14" t="str">
        <x:v>B</x:v>
      </x:c>
      <x:c r="B121" s="7" t="str">
        <x:v>CWC-CE1395F728EC</x:v>
      </x:c>
      <x:c r="C121" s="7" t="str">
        <x:v>Recovery of Benthic Megafauna from Anthropogenic Disturbance at a Hydrocarbon Drilling Well (380 m Depth in the Norwegian Sea)</x:v>
      </x:c>
      <x:c r="D121" s="7" t="str">
        <x:v>Andrew R. Gates | Daniel O. B. Jones</x:v>
      </x:c>
      <x:c r="E121" s="11" t="str">
        <x:v>2012</x:v>
      </x:c>
      <x:c r="F121" s="7" t="str">
        <x:v>PLoS ONE</x:v>
      </x:c>
      <x:c r="G121" s="7" t="str">
        <x:v>article</x:v>
      </x:c>
      <x:c r="H121" s="7" t="str">
        <x:v>10.1371/journal.pone.0044114</x:v>
      </x:c>
      <x:c r="I121" s="7" t="str">
        <x:v>https://doi.org/10.1371/journal.pone.0044114</x:v>
      </x:c>
      <x:c r="J121" s="7" t="str">
        <x:v>Recovery from disturbance in deep water is poorly understood, but as anthropogenic impacts increase in deeper water it is important to quantify the process. Exploratory hydrocarbon drilling causes physical disturbance, smothering the seabed near the well. Video transects obtained by remotely operated vehicles were used to assess the change in invertebrate megafaunal density and diversity caused by drilling a well at 380 m depth in the Norwegian Sea in 2006. Transects were carried out one day before drilling commenced and 27 days, 76 days, and three years later. A background survey, further from the well, was also carried out in 2009. Porifera (45% of observations) and Cnidaria (40%) dominated the megafauna. Porifera accounted for 94% of hard-substratum organisms and cnidarians (Pennatulacea) dominated on the soft sediment (78%). Twenty seven and 76 days after drilling commenced, drill cuttings were visible, extending over 100 m from the well. In this area there were low invertebrate megafaunal densities (0.08 and 0.10 individuals m(-2)) in comparison to pre-drill conditions (0.21 individuals m(-2)). Three years later the visible extent of the cuttings had reduced, reaching 60 m from the well. Within this area the megafaunal density (0.05 individuals m(-2)) was lower than pre-drill and reference transects (0.23 individuals m(-2)). There was a significant increase in total megafaunal invertebrate densities with both distance from drilling and time since drilling although no significant interaction. Beyond the visible disturbance there were similar megafaunal densities (0.14 individuals m(-2)) to pre-drilling and background surveys. Species richness, Shannon-Weiner diversity and multivariate techniques showed similar patterns to density. At this site the effects of exploratory drilling on megafaunal invertebrate density and diversity seem confined to the extent of the visible cuttings pile. However, elevated Barium concentration and reduced sediment grain size suggest persistence of disturbance for three years, with unclear consequences for other components of the benthic fauna.</x:v>
      </x:c>
      <x:c r="K121" s="11" t="str">
        <x:v>YES</x:v>
      </x:c>
      <x:c r="L121" s="7" t="str">
        <x:v>FROZEN_PUBLIC_FULL_TEXT_LOCATION</x:v>
      </x:c>
      <x:c r="M121" s="7" t="str">
        <x:v>https://journals.plos.org/plosone/article/file?id=10.1371/journal.pone.0044114&amp;type=printable</x:v>
      </x:c>
      <x:c r="N121" s="7" t="str">
        <x:v>VERIFIED_DOI_DOCUMENT</x:v>
      </x:c>
      <x:c r="O121" s="7" t="str">
        <x:v>B01_DEEP_COLD_SEDIMENT_EVIDENCE</x:v>
      </x:c>
      <x:c r="P121" s="11" t="str">
        <x:v>HIGH</x:v>
      </x:c>
      <x:c r="Q121" s="7" t="str">
        <x:v>Deep-sea benthic megafauna dominated by Porifera (45%, 94% of hard substratum) and Cnidaria (40%, Pennatulacea 78% of soft sediment) at 380 m depth in the Norwegian Sea.</x:v>
      </x:c>
      <x:c r="R121" s="7" t="str">
        <x:v>Anthropogenic physical disturbance from exploratory hydrocarbon drilling: smothering by drill cuttings, visible cuttings extending &gt;100 m, elevated barium concentration, and reduced sediment grain size persisting for three years.</x:v>
      </x:c>
      <x:c r="S121" s="7" t="str">
        <x:v>Drill cuttings area showed reduced invertebrate megafaunal density (0.08 and 0.10 individuals m-2 vs 0.21 pre-drill) and diversity; three years later density remained lower (0.05 vs 0.23 reference) within visible cuttings, with significant increases in density and diversity with distance from drilling and time since drilling. Provides recovery and impact persistence assessment.</x:v>
      </x:c>
      <x:c r="T121" s="7" t="str">
        <x:v>Direct deep-sea study linking drilling-induced sediment smothering/drill-cuttings deposition to changes in cold-water sponge and coral-dominated megafaunal density and diversity, including recovery timeline. Meet B01 as explicit sediment pathway with biological impact evidence.</x:v>
      </x:c>
      <x:c r="U121" s="7" t="str">
        <x:v>This is a primary research article on deep-water benthic megafauna recovery after hydrocarbon drilling, explicitly evaluating smothering by drill cuttings and sediment disturbance at 380 m depth. The megafauna are dominated by Porifera and Cnidaria, including cold-water corals (Pennatulacea). The study reports reduced density and diversity within the visible cuttings area and persistence of sediment chemistry/grain size effects after three years, providing direct impact and recovery evidence. This clearly qualifies under B01 (deep/cold sediment evidence) with a biological/ecological response. It is preferred over CHAIN_ONLY because the abstract provides substantive direct evidence, not merely references. Excluded categories like X02 or X03 are not applicable because both sediment pathway and organism response are present. Confidence is HIGH based on detailed results.</x:v>
      </x:c>
      <x:c r="V121" s="7" t="str">
        <x:v>ALL_VERIFIED_CENTRAL_PEER_REVIEWED</x:v>
      </x:c>
      <x:c r="W121" s="7" t="str">
        <x:v>TBV1-0023</x:v>
      </x:c>
    </x:row>
    <x:row r="122" ht="42" customHeight="1">
      <x:c r="A122" s="14" t="str">
        <x:v>B</x:v>
      </x:c>
      <x:c r="B122" s="7" t="str">
        <x:v>CWC-E202FF6B6A6F</x:v>
      </x:c>
      <x:c r="C122" s="7" t="str">
        <x:v>Recreating pulsed turbidity events to determine coral–sediment thresholds for active management</x:v>
      </x:c>
      <x:c r="D122" s="7" t="str">
        <x:v>Nicola K. Browne | Jason K.L. Tay | Peter A. Todd</x:v>
      </x:c>
      <x:c r="E122" s="11" t="str">
        <x:v>2015</x:v>
      </x:c>
      <x:c r="F122" s="7" t="str">
        <x:v>Journal of Experimental Marine Biology and Ecology</x:v>
      </x:c>
      <x:c r="G122" s="7" t="str">
        <x:v>article</x:v>
      </x:c>
      <x:c r="H122" s="7" t="str">
        <x:v>10.1016/j.jembe.2015.02.010</x:v>
      </x:c>
      <x:c r="I122" s="7" t="str">
        <x:v>https://doi.org/10.1016/j.jembe.2015.02.010</x:v>
      </x:c>
      <x:c r="J122" s="7" t="str">
        <x:v>Active management of anthropogenically driven sediment resuspension events near coral reefs relies on an accurate assessment of coral thresholds to both suspended and deposited sediments. Yet the range of coral responses to sediments both within and amongst species has limited our ability to determine representative threshold values. This study reviews information available on coral physiological responses to a range of sediment loads at varying time frames and provides a novel approach to assess coral thresholds to suspended and deposited sediments. The new approach replicates natural turbidity regimes by creating pulsed turbidity events at two environmentally realistic levels (moderate = similar to 50 mg l(-1), peaks at 100 mg l(-1); severe = similar to 100 mg l(-1), peaks at 250 mg l(-1)). Corals (Merulina ampliata, Pachyseris speciosa, Platygyra sinensis) were subjected to two exposure regimes: pulsed turbidity events for four weeks followed by two months of recovery (constant regime) or pulsed turbidity events every other week followed by one month of recovery (periodic regime). Coral thresholds were greater than commonly used estimates with little to no effect on corals at moderate sediment levels. At extreme sediment levels, species morphological differences were potentially key determinants of coral survival. The periodic exposure regime was less detrimental to all coral species than the constant exposure regime as demonstrated by elevated yields and lower tissue morality rates. To improve knowledge on coral-sediment threshold values, research needs to expand to incorporate a broader range of species and exposure regimes. Realistic threshold values combined with modelling efforts would improve prediction of reef health and enable managers to react to declines in health before coral mortality occurs. (C) 2015 Elsevier B.V. All rights reserved.</x:v>
      </x:c>
      <x:c r="K122" s="11" t="str">
        <x:v>YES</x:v>
      </x:c>
      <x:c r="L122" s="7" t="str">
        <x:v>FROZEN_PUBLIC_FULL_TEXT_LOCATION</x:v>
      </x:c>
      <x:c r="M122" s="7" t="str">
        <x:v>https://espace.curtin.edu.au/bitstream/20.500.11937/11460/2/226956_226957.pdf</x:v>
      </x:c>
      <x:c r="N122" s="7" t="str">
        <x:v>VERIFIED_DOI_DOCUMENT</x:v>
      </x:c>
      <x:c r="O122" s="7" t="str">
        <x:v>B04_TROPICAL_PHYSICAL_SEDIMENT_ANALOGUE</x:v>
      </x:c>
      <x:c r="P122" s="11" t="str">
        <x:v>HIGH</x:v>
      </x:c>
      <x:c r="Q122" s="7" t="str">
        <x:v>Corals: Merulina ampliata, Pachyseris speciosa, Platygyra sinensis</x:v>
      </x:c>
      <x:c r="R122" s="7" t="str">
        <x:v>Suspended and deposited sediments; pulsed turbidity events at moderate (~50 mg/l, peaks 100) and severe (~100 mg/l, peaks 250) levels</x:v>
      </x:c>
      <x:c r="S122" s="7" t="str">
        <x:v>Coral thresholds, physiological responses, species morphological differences, tissue mortality rates, yields, recovery after exposure</x:v>
      </x:c>
      <x:c r="T122" s="7" t="str">
        <x:v>Direct experimental manipulation of sediment exposure on tropical corals with biological response measurements, suitable as a physical sediment analogue.</x:v>
      </x:c>
      <x:c r="U122" s="7" t="str">
        <x:v>This is a direct experimental study exposing tropical corals to controlled sediment pulses, measuring thresholds, mortality, and physiological responses. It clearly meets B04 as it tests physical sediment exposure and reports biological responses. The abstract explicitly discusses coral-sediment thresholds and survival under different regimes, providing evidence of sediment effects on corals. There is no ambiguity; the document is a substantive journal article. Excluded alternatives: B01/B02 are for deep/cold sources, which this is not; B03 non-tropical not applicable; B05 broad synthesis not relevant. Therefore B04 is appropriate.</x:v>
      </x:c>
      <x:c r="V122" s="7" t="str">
        <x:v>SPARING_TOP_25_TROPICAL_DIRECT_PHYSICAL_ANALOGUES</x:v>
      </x:c>
      <x:c r="W122" s="7" t="str">
        <x:v>TBV1-1194</x:v>
      </x:c>
    </x:row>
    <x:row r="123" ht="42" customHeight="1">
      <x:c r="A123" s="14" t="str">
        <x:v>B</x:v>
      </x:c>
      <x:c r="B123" s="7" t="str">
        <x:v>CWC-60AD65F9FB89</x:v>
      </x:c>
      <x:c r="C123" s="7" t="str">
        <x:v>Reefs and mounds</x:v>
      </x:c>
      <x:c r="D123" s="7" t="str">
        <x:v>J. Murray Roberts | Andrew J. Wheeler | André Freiwald | Stephen D. Cairns</x:v>
      </x:c>
      <x:c r="E123" s="11" t="str">
        <x:v>2009</x:v>
      </x:c>
      <x:c r="F123" s="7" t="str">
        <x:v>Cambridge University Press eBooks</x:v>
      </x:c>
      <x:c r="G123" s="7" t="str">
        <x:v>book-chapter</x:v>
      </x:c>
      <x:c r="H123" s="7" t="str">
        <x:v>10.1017/cbo9780511581588.005</x:v>
      </x:c>
      <x:c r="I123" s="7" t="str">
        <x:v>https://doi.org/10.1017/cbo9780511581588.005</x:v>
      </x:c>
      <x:c r="J123" s="7" t="str">
        <x:v>Even some zoologists and geologists perennially express surprise not only that corals exist in deep cold waters, but that in certain instances they create appreciable deposits of calcium carbonate, in the form of accumulations of their skeletal remains. Coral banks occurring in deep water on the Blake Plateau Thomas R. Stetson, Donald F. Squires and Richard M. Pratt (1962) Cold-water coral reefs and coral carbonate mounds are morphological features formed through complex interactions between biological and geological processes under suitable hydrodynamic conditions. Such interactions are common in marine systems with biological activity having a profound effect on a number of sedimentological processes: from diatom stabilisation of mudflat surfaces, to the role of algae in carbonate grapestone formation and the development of deep-water bioherms. Marine organisms can strongly influence their sedimentary environments and where their activities are focused in one place, distinct biogeological structures may be formed. Such scenarios often involve enhanced sediment accumulation through substratum stabilisation and/or sediment trapping and usually benefit the organisms in question, for instance by giving them a preferential position from which to feed and isolating them from the effects of scouring bedload transport. Such biogeological formations are not only common in the geological record, because they form persistent features, but also because such positive interactions are ubiquitous throughout Earth history.</x:v>
      </x:c>
      <x:c r="K123" s="11" t="str">
        <x:v>NO</x:v>
      </x:c>
      <x:c r="L123" s="7" t="str">
        <x:v>NOT_CONFIRMED</x:v>
      </x:c>
      <x:c r="M123" s="7" t="str"/>
      <x:c r="N123" s="7" t="str">
        <x:v>VERIFIED_DOI_DOCUMENT</x:v>
      </x:c>
      <x:c r="O123" s="7" t="str">
        <x:v>B02_DEEP_COLD_REVIEW_ASSESSMENT</x:v>
      </x:c>
      <x:c r="P123" s="11" t="str">
        <x:v>MEDIUM</x:v>
      </x:c>
      <x:c r="Q123" s="7" t="str">
        <x:v>Cold-water corals and coral carbonate mounds; deep-sea coral habitats.</x:v>
      </x:c>
      <x:c r="R123" s="7" t="str">
        <x:v>Sediment transport, sediment trapping, substratum stabilization, scouring bedload transport.</x:v>
      </x:c>
      <x:c r="S123" s="7" t="str">
        <x:v>Describes how sedimentological processes interact with coral biology to form reefs and mounds; discusses benefits such as preferential feeding positions and isolation from scouring bedload transport, as well as carbonate accumulation.</x:v>
      </x:c>
      <x:c r="T123" s="7" t="str">
        <x:v>Substantive book chapter on cold-water coral reefs and mounds that directly addresses sediment-related processes and their biological/geological interactions, providing context relevant to sediment-exposure effects and habitat formation.</x:v>
      </x:c>
      <x:c r="U123" s="7" t="str">
        <x:v>This record is a scholarly book chapter focused on cold-water coral reefs and mounds. The abstract explicitly discusses sedimentological processes (sediment trapping, substratum stabilization, bedload transport) and their interactions with coral biology, which fits a sediment-related pathway in deep-sea coral systems. As a review/assessment chapter, it qualifies under B02_DEEP_COLD_REVIEW_ASSESSMENT, even though the snippet does not detail organism-level response thresholds. The closest alternative is CHAIN_ONLY, but the direct sediment focus and coral relevance are sufficient for inclusion. Confidence is MEDIUM because the full text may further clarify the depth of sediment-impact coverage.</x:v>
      </x:c>
      <x:c r="V123" s="7" t="str">
        <x:v>ALL_VERIFIED_NON_TROPICAL_TIER_B_INCLUSIONS</x:v>
      </x:c>
      <x:c r="W123" s="7" t="str">
        <x:v>TBV1-0127</x:v>
      </x:c>
    </x:row>
    <x:row r="124" ht="42" customHeight="1">
      <x:c r="A124" s="14" t="str">
        <x:v>B</x:v>
      </x:c>
      <x:c r="B124" s="7" t="str">
        <x:v>CWC-FB0BDD1F5FD5</x:v>
      </x:c>
      <x:c r="C124" s="7" t="str">
        <x:v>Regional guidance on measures to protect corals and sponges during exploratory drilling - Canada-Newfoundland and Labrador Offshore Area</x:v>
      </x:c>
      <x:c r="D124" s="7" t="str"/>
      <x:c r="E124" s="11" t="str"/>
      <x:c r="F124" s="7" t="str">
        <x:v>Fisheries and Oceans Canada</x:v>
      </x:c>
      <x:c r="G124" s="7" t="str">
        <x:v>government_report</x:v>
      </x:c>
      <x:c r="H124" s="7" t="str"/>
      <x:c r="I124" s="7" t="str">
        <x:v>https://www.dfo-mpo.gc.ca/publications/pnw-ppe/coral-sponge-caraux-eponges/nfl-guidance-directives-brochure-tnl-eng.html?wbdisable=true</x:v>
      </x:c>
      <x:c r="J124" s="7" t="str">
        <x:v>The guidance in this document outlines recommendations and should not be taken as replacement of previously established environmental assessment conditions (CEAA 2012) or regulatory requirements. ## Follow-up and monitoring Follow-up and monitoring is informed by the pre-drill Seabed Investigation Survey results and the drill cuttings dispersion model. The Follow-up and Monitoring Plan will be submitted to the C-NLOPB and also reviewed by DFO. The monitoring program is used to determine: [...] Methods include visual survey and non-visual surveys (i.e. measurements of drill cuttings/waste ex</x:v>
      </x:c>
      <x:c r="K124" s="11" t="str">
        <x:v>YES</x:v>
      </x:c>
      <x:c r="L124" s="7" t="str">
        <x:v>FROZEN_PUBLIC_FULL_TEXT_LOCATION</x:v>
      </x:c>
      <x:c r="M124" s="7" t="str">
        <x:v>https://www.dfo-mpo.gc.ca/publications/pnw-ppe/coral-sponge-caraux-eponges/nfl-guidance-directives-brochure-tnl-eng.html?wbdisable=true</x:v>
      </x:c>
      <x:c r="N124" s="7" t="str">
        <x:v>VERIFIED_BIBLIOGRAPHIC_DOCUMENT</x:v>
      </x:c>
      <x:c r="O124" s="7" t="str">
        <x:v>B02_DEEP_COLD_REVIEW_ASSESSMENT</x:v>
      </x:c>
      <x:c r="P124" s="11" t="str">
        <x:v>HIGH</x:v>
      </x:c>
      <x:c r="Q124" s="7" t="str">
        <x:v>Cold-water corals and sponges in the Canada-Newfoundland and Labrador offshore area.</x:v>
      </x:c>
      <x:c r="R124" s="7" t="str">
        <x:v>Drill cuttings and drilling waste, including sediment dispersion and deposition from exploratory drilling.</x:v>
      </x:c>
      <x:c r="S124" s="7" t="str">
        <x:v>The report provides regional guidance and monitoring protocols for protecting corals and sponges, including pre-drill seabed investigations, drill cuttings dispersion modeling, and follow-up monitoring plans.</x:v>
      </x:c>
      <x:c r="T124" s="7" t="str">
        <x:v>B02_DEEP_COLD_REVIEW_ASSESSMENT: Government report directly focused on sediment/drill-cuttings impacts and protection measures for cold-water corals and sponges.</x:v>
      </x:c>
      <x:c r="U124" s="7" t="str">
        <x:v>This is a Fisheries and Oceans Canada government report providing regional guidance to protect corals and sponges during exploratory drilling. The abstract explicitly mentions drill cuttings dispersion model and follow-up monitoring, indicating a direct sediment/drill-cuttings pathway. This is a substantive regulatory/assessment document, so it qualifies under B02.</x:v>
      </x:c>
      <x:c r="V124" s="7" t="str">
        <x:v>ALL_VERIFIED_CSAS</x:v>
      </x:c>
      <x:c r="W124" s="7" t="str">
        <x:v>TBV1-0105</x:v>
      </x:c>
    </x:row>
    <x:row r="125" ht="42" customHeight="1">
      <x:c r="A125" s="14" t="str">
        <x:v>B</x:v>
      </x:c>
      <x:c r="B125" s="7" t="str">
        <x:v>GLV4-CD560E6425D2</x:v>
      </x:c>
      <x:c r="C125" s="7" t="str">
        <x:v>Report Nr. 37 (2008-2009) to the Storting</x:v>
      </x:c>
      <x:c r="D125" s="7" t="str"/>
      <x:c r="E125" s="11" t="str">
        <x:v>2008</x:v>
      </x:c>
      <x:c r="F125" s="7" t="str">
        <x:v>regjeringen.no</x:v>
      </x:c>
      <x:c r="G125" s="7" t="str">
        <x:v>report</x:v>
      </x:c>
      <x:c r="H125" s="7" t="str"/>
      <x:c r="I125" s="7" t="str">
        <x:v>https://www.regjeringen.no/contentassets/1b48042315f24b0182c3467f6f324d73/en-gb/pdfs/stm200820090037000en_pdfs.pdf</x:v>
      </x:c>
      <x:c r="J125" s="7" t="str">
        <x:v>seabed can also result in resuspension of sedi­ ments and sediment deposition on corals, sponges and other benthic animals. Other examples of local activities that may damage vulnerable habitat types such as coral reefs are extraction of coral rubble, deposition of Figure 5.2 Sponges Photo: Institute of Marine Research/MAREANO programme 59 2008– 2009 Report No. 37 to the Storting Integrated Management of the Marine Environment of the Norwegian Sea Figure 5.3 Branching corals are very vulnerable to fishing with gill nets. They can easily become entangled in the meshes, like the gorgonian coral</x:v>
      </x:c>
      <x:c r="K125" s="11" t="str">
        <x:v>YES</x:v>
      </x:c>
      <x:c r="L125" s="7" t="str">
        <x:v>PUBLIC_FULL_DOCUMENT_LOCATION</x:v>
      </x:c>
      <x:c r="M125" s="7" t="str">
        <x:v>https://www.regjeringen.no/contentassets/1b48042315f24b0182c3467f6f324d73/en-gb/pdfs/stm200820090037000en_pdfs.pdf</x:v>
      </x:c>
      <x:c r="N125" s="7" t="str">
        <x:v>VERIFIED_DIRECT_DOCUMENT_URL</x:v>
      </x:c>
      <x:c r="O125" s="7" t="str">
        <x:v>B02_DEEP_COLD_REVIEW_ASSESSMENT</x:v>
      </x:c>
      <x:c r="P125" s="11" t="str">
        <x:v>HIGH</x:v>
      </x:c>
      <x:c r="Q125" s="7" t="str">
        <x:v>Corals and sponges are explicitly mentioned as benthic animals affected by sediment deposition, with coral reefs as vulnerable habitat types.</x:v>
      </x:c>
      <x:c r="R125" s="7" t="str">
        <x:v>The report discusses resuspension of sediments and sediment deposition on corals, sponges, and other benthic animals, as well as local activities that may damage coral reefs.</x:v>
      </x:c>
      <x:c r="S125" s="7" t="str">
        <x:v>The report provides an integrated management assessment for the Norwegian Sea, identifying sediment-related impacts on vulnerable habitats and species, and informing management decisions.</x:v>
      </x:c>
      <x:c r="T125" s="7" t="str">
        <x:v>This is a substantive government report with a direct focus on sediment impacts on deep/cold-water corals and sponges, fitting the B02 review/assessment pathway.</x:v>
      </x:c>
      <x:c r="U125" s="7" t="str">
        <x:v>This is an official Norwegian government report (Report No. 37 to the Storting) on integrated management of the marine environment of the Norwegian Sea. The snippet explicitly mentions resuspension of sediments and sediment deposition on corals, sponges, and other benthic animals, and identifies activities that may damage vulnerable coral reef habitats. This qualifies as a deep/cold-water coral or sponge review/assessment with a clear sediment-impact focus, meeting B02_DEEP_COLD_REVIEW_ASSESSMENT. The alternative closest is EXCLUDE for not being organism-specific, but corals and sponges are directly named. CHAIN_ONLY is not appropriate because the document contains relevant evidence. Therefore, TIER_B_INCLUDE is warranted.</x:v>
      </x:c>
      <x:c r="V125" s="7" t="str">
        <x:v>ALL_VERIFIED_NON_TROPICAL_TIER_B_INCLUSIONS</x:v>
      </x:c>
      <x:c r="W125" s="7" t="str">
        <x:v>TBV1-0515</x:v>
      </x:c>
    </x:row>
    <x:row r="126" ht="42" customHeight="1">
      <x:c r="A126" s="14" t="str">
        <x:v>B</x:v>
      </x:c>
      <x:c r="B126" s="7" t="str">
        <x:v>CWC-7AA6008523AB</x:v>
      </x:c>
      <x:c r="C126" s="7" t="str">
        <x:v>Responses of coral reefs and reef organisms to sedimentation</x:v>
      </x:c>
      <x:c r="D126" s="7" t="str">
        <x:v>CS Rogers</x:v>
      </x:c>
      <x:c r="E126" s="11" t="str">
        <x:v>1990</x:v>
      </x:c>
      <x:c r="F126" s="7" t="str">
        <x:v>Marine Ecology Progress Series</x:v>
      </x:c>
      <x:c r="G126" s="7" t="str">
        <x:v>article</x:v>
      </x:c>
      <x:c r="H126" s="7" t="str">
        <x:v>10.3354/meps062185</x:v>
      </x:c>
      <x:c r="I126" s="7" t="str">
        <x:v>https://doi.org/10.3354/meps062185</x:v>
      </x:c>
      <x:c r="J126" s="7" t="str">
        <x:v>Unprecedented development along tropical shorelines is causing severe degradation of coral reefs primarily from increases in sedimentation. Sediment particles smother reef organisms and reduce light available for photosynthesis. Excessive sedmentation can adversely affect the structure and function of the coral reef ecosystem by altering both physical and biological processes. Mean sediment rates and suspended sediment concentrations for reefs not subject to stresses from human activities are &lt; 1 to ca 10 mg cm-* d-' and &lt; 10 mg I-', respectively. Chronic rates and concentrations above these values are 'hlgh'. Heavy sedmentation is associated with fewer coral species, less live coral, lower coral growth rates, greater abundance of branching forms, reduced coral recruitment, decreased calcification, decreased net productivity of corals, and slower rates of reef accretion. Coral species have different capabilities of clearing themselves of sediment particles or surviving lower light levels. Sedlment rejection is a function of morphology, orientation, growth habit, and behavior; and of the amount and type of s e l m e n t . Coral growth rates are not simple indicators of sediment levels. Decline of tropical fisheries is partially attributable to deterioration of coral reefs, seagrass beds, and mangroves from sedimentation. Sedimentation can alter the complex interactions between fish and their reef habitat. For example, sedimentation can lull major reef-building corals, leading to eventual collapse of the reef framework. A decline in the amount of shelter the reef provides leads to reductions in both number of individuals and number of species of fish. Currently, we are unable to rigorously predict the responses of coral reefs and reef organisms to excessive sedimentation from coastal development and other sources. Given information on the amount of sediment which will be introduced into the reef environment, the coral community composition, the depth of the reef, the percent coral cover, and the current patterns, we should be able to predict the consequences of a particular activity. Models of physical processes (e.g. sediment transport) must be complemented with better understanding of organism and ecosystem responses to sediment stress. Specifically, we need data on the threshold levels for reef orgarusms and for the reef ecosystem as a whole -the levels above which sedimentation has lethal effects for particular species and above which normal functioning of the reef ceases. Additional field studies on the responses of reef organisms to both temgenous and calcium carbonate sediments are necessary. To effectively assess trends on coral reefs, e.g. changes in abundance and spatial arrangement of dominant benthic organisms, scientists must start using standardized monitoring methods. Long-term data sets are critical for tracking these complex ecosystems.</x:v>
      </x:c>
      <x:c r="K126" s="11" t="str">
        <x:v>YES</x:v>
      </x:c>
      <x:c r="L126" s="7" t="str">
        <x:v>FROZEN_PUBLIC_FULL_TEXT_LOCATION</x:v>
      </x:c>
      <x:c r="M126" s="7" t="str"/>
      <x:c r="N126" s="7" t="str">
        <x:v>VERIFIED_DOI_DOCUMENT</x:v>
      </x:c>
      <x:c r="O126" s="7" t="str">
        <x:v>B05_BROAD_SYNTHESIS_WITH_TARGET_EVIDENCE</x:v>
      </x:c>
      <x:c r="P126" s="11" t="str">
        <x:v>HIGH</x:v>
      </x:c>
      <x:c r="Q126" s="7" t="str">
        <x:v>Coral reefs and reef organisms, focusing on corals (species, communities, reef framework), with implications for fish and other reef taxa.</x:v>
      </x:c>
      <x:c r="R126" s="7" t="str">
        <x:v>Sedimentation from coastal development; sediment particles, smothering, reduced light, suspended sediment concentrations, chronic sediment rates.</x:v>
      </x:c>
      <x:c r="S126" s="7" t="str">
        <x:v>Reduced coral species richness, live coral cover, growth rates, recruitment, calcification, net productivity, and reef accretion rates; sediment rejection capacities; threshold levels for lethal effects and normal reef functioning.</x:v>
      </x:c>
      <x:c r="T126" s="7" t="str">
        <x:v>This is a substantive synthesis/assessment of tropical coral reef responses to sedimentation, providing direct sediment-impact evidence and threshold context. It separately identifies coral and reef organism responses, fitting B05 as a broad sediment-effects synthesis with target evidence.</x:v>
      </x:c>
      <x:c r="U126" s="7" t="str">
        <x:v>The abstract is a comprehensive review of coral reef and organism responses to sedimentation, explicitly covering smothering, light reduction, and biological/ecological consequences such as decreased growth, recruitment, calcification, and live cover. It offers threshold values and discusses sediment rejection mechanisms. This is a synthesis specific to corals, not an original experimental study, so B04 is less appropriate. B01/B02/B03 are not applicable as it is tropical and not deep/cold. Thus B05 is the best fit, and the record is clearly within Tier B scope.</x:v>
      </x:c>
      <x:c r="V126" s="7" t="str">
        <x:v>ALL_VERIFIED_NON_TROPICAL_TIER_B_INCLUSIONS</x:v>
      </x:c>
      <x:c r="W126" s="7" t="str">
        <x:v>TBV1-1198</x:v>
      </x:c>
    </x:row>
    <x:row r="127" ht="42" customHeight="1">
      <x:c r="A127" s="14" t="str">
        <x:v>B</x:v>
      </x:c>
      <x:c r="B127" s="7" t="str">
        <x:v>GLV4-64B490BC5464</x:v>
      </x:c>
      <x:c r="C127" s="7" t="str">
        <x:v>review of the environmental impact statements</x:v>
      </x:c>
      <x:c r="D127" s="7" t="str"/>
      <x:c r="E127" s="11" t="str"/>
      <x:c r="F127" s="7" t="str">
        <x:v>waves-vagues.dfo-mpo.gc.ca</x:v>
      </x:c>
      <x:c r="G127" s="7" t="str">
        <x:v>environmental_impact_statement</x:v>
      </x:c>
      <x:c r="H127" s="7" t="str"/>
      <x:c r="I127" s="7" t="str">
        <x:v>https://waves-vagues.dfo-mpo.gc.ca/library-bibliotheque/4068958x.pdf</x:v>
      </x:c>
      <x:c r="J127" s="7" t="str">
        <x:v>of Residual Environmental Effects (review of information related to Corals / Sponges) Newfoundland and Labrador Region Science Response: Flemish Pass and Eastern Newfoundland Offshore Exploration Drilling Programs 3 o Section 8.6 – Environmental Monitoring and Follow-up (review of information related to Corals/Sponges) • Section 12.0 - Indigenous Communities and Activities: Environmental Effects Assessment o Section 12.3.2.2.3 - Atlantic salmon • Section 15.0 - Accidental Events o Section 15.4 - Fate and Behaviour of Potential Spills o Section 15.5 – Environmental Effects Assessment: Sections</x:v>
      </x:c>
      <x:c r="K127" s="11" t="str">
        <x:v>YES</x:v>
      </x:c>
      <x:c r="L127" s="7" t="str">
        <x:v>PUBLIC_FULL_DOCUMENT_LOCATION</x:v>
      </x:c>
      <x:c r="M127" s="7" t="str">
        <x:v>https://waves-vagues.dfo-mpo.gc.ca/library-bibliotheque/4068958x.pdf</x:v>
      </x:c>
      <x:c r="N127" s="7" t="str">
        <x:v>VERIFIED_DIRECT_DOCUMENT_URL</x:v>
      </x:c>
      <x:c r="O127" s="7" t="str">
        <x:v>B02_DEEP_COLD_REVIEW_ASSESSMENT</x:v>
      </x:c>
      <x:c r="P127" s="11" t="str">
        <x:v>HIGH</x:v>
      </x:c>
      <x:c r="Q127" s="7" t="str">
        <x:v>The document is a review of environmental impact statements focused on corals and sponges, explicitly referencing 'review of information related to Corals / Sponges' within the Newfoundland and Labrador offshore area.</x:v>
      </x:c>
      <x:c r="R127" s="7" t="str">
        <x:v>The context is offshore exploration drilling programs (Flemish Pass and Eastern Newfoundland), which inherently involve sediment-related stressors such as drill cuttings, drilling muds, and potential sediment deposition or resuspension.</x:v>
      </x:c>
      <x:c r="S127" s="7" t="str">
        <x:v>Provides an assessment of residual environmental effects on corals/sponges, including environmental monitoring and follow-up sections, representing a regulatory or science-response review relevant to impact assessment.</x:v>
      </x:c>
      <x:c r="T127" s="7" t="str">
        <x:v>B02_DEEP_COLD_REVIEW_ASSESSMENT: substantive government/regulatory science response reviewing environmental impact statements for drilling programs, with explicit focus on corals/sponges and potential sediment-related effects.</x:v>
      </x:c>
      <x:c r="U127" s="7" t="str">
        <x:v>This is an identifiable DFO science response document reviewing EIS information related to corals/sponges for offshore drilling programs. The drilling context implies sediment-related pathways, and the review provides assessment and monitoring evidence relevant to sediment impacts on deep-sea corals and sponges. It qualifies under B02 as a substantive government/regulatory assessment with a direct focus on corals/sponges. Exclusions do not apply because the document is a substantive assessment, not a discovery webpage, and explicitly targets corals/sponges within a sediment-associated industrial activity.</x:v>
      </x:c>
      <x:c r="V127" s="7" t="str">
        <x:v>ALL_VERIFIED_CSAS</x:v>
      </x:c>
      <x:c r="W127" s="7" t="str">
        <x:v>TBV1-0467</x:v>
      </x:c>
    </x:row>
    <x:row r="128" ht="42" customHeight="1">
      <x:c r="A128" s="14" t="str">
        <x:v>B</x:v>
      </x:c>
      <x:c r="B128" s="7" t="str">
        <x:v>CWC-386D236FF5A0</x:v>
      </x:c>
      <x:c r="C128" s="7" t="str">
        <x:v>Review: Sediment‐Related Controls on the Health of the Great Barrier Reef</x:v>
      </x:c>
      <x:c r="D128" s="7" t="str">
        <x:v>Peter B. Hairsine</x:v>
      </x:c>
      <x:c r="E128" s="11" t="str">
        <x:v>2017</x:v>
      </x:c>
      <x:c r="F128" s="7" t="str">
        <x:v>Vadose Zone Journal</x:v>
      </x:c>
      <x:c r="G128" s="7" t="str">
        <x:v>article</x:v>
      </x:c>
      <x:c r="H128" s="7" t="str">
        <x:v>10.2136/vzj2017.05.0115</x:v>
      </x:c>
      <x:c r="I128" s="7" t="str">
        <x:v>https://doi.org/10.2136/vzj2017.05.0115</x:v>
      </x:c>
      <x:c r="J128" s="7" t="str">
        <x:v>Core Ideas Linking terrestrial soil erosion to marine ecosystem degradation relies on a long chain of evidence. Excess terrestrial erosion impacts marine ecosystems via changes to marine food webs. A graphic summary of the spatial configuration of the sources and sinks is provided. Increased management of near‐coastal sediment sources and terrestrial sediment sinks is appropriate. Research needs include techniques for enhancing sediment trapping, response times, and nutrient tracking. Linking terrestrial soil erosion to the degradation of marine ecosystems relies on a long chain of evidence. Here, this chain of evidence is reviewed for Australia's Great Barrier Reef and its catchments. Excessive sediment delivery to the marine environment is one component of an interlinked group of stressors that include coral bleaching, damage by storms, and plagues of crown‐of‐thorns starfish. Sediment and the pollutants they carry are one of the drivers of marine ecosystem decline and adversely impact recovery following disturbance by other stressors. Significantly, a portion of the N species carried by fine sediment in the freshwater system is released in the marine environment, thereby perturbing marine ecology. Available controls on sediment and pollutant delivery are hillslope erosion rates, gully and streambank erosion rates, sediment deposition rates in sediment sinks including footslopes, floodplains, and water reservoirs, and the application rates of pesticides and fertilizers. By reducing sediment fluxes through the combined strategies of erosion control and deposition enhancement, near‐ and offshore impacts can be reduced. Gully and streambank erosion are more significant sources of fine sediment than hillslope erosion. Fertilizer and non‐fertilizer N and pesticides carried by sediment play an important role in coral reef degradation. A graphic summary of the spatial configuration the sources and sinks is provided to guide the prioritization of interventions. The scale of intervention required to achieve the desired marine outcome is so large that a combined voluntary and regulatory approach is needed.</x:v>
      </x:c>
      <x:c r="K128" s="11" t="str">
        <x:v>NO</x:v>
      </x:c>
      <x:c r="L128" s="7" t="str">
        <x:v>NOT_CONFIRMED</x:v>
      </x:c>
      <x:c r="M128" s="7" t="str"/>
      <x:c r="N128" s="7" t="str">
        <x:v>VERIFIED_DOI_DOCUMENT</x:v>
      </x:c>
      <x:c r="O128" s="7" t="str">
        <x:v>B05_BROAD_SYNTHESIS_WITH_TARGET_EVIDENCE</x:v>
      </x:c>
      <x:c r="P128" s="11" t="str">
        <x:v>HIGH</x:v>
      </x:c>
      <x:c r="Q128" s="7" t="str">
        <x:v>Coral reef ecosystems, specifically the Great Barrier Reef, are discussed.</x:v>
      </x:c>
      <x:c r="R128" s="7" t="str">
        <x:v>Excessive sediment delivery from terrestrial erosion, including fine sediment and associated pollutants (nitrogen, pesticides), to the marine environment.</x:v>
      </x:c>
      <x:c r="S128" s="7" t="str">
        <x:v>Sediment is identified as a driver of marine ecosystem decline, adversely impacting coral reef recovery following other disturbances; coral reef degradation is explicitly linked to sediment fluxes.</x:v>
      </x:c>
      <x:c r="T128" s="7" t="str">
        <x:v>This is a broad synthesis/assessment of sediment-related controls on a tropical coral reef ecosystem, explicitly reporting coral reef degradation as an impact. It qualifies under B05 because it provides relevant coral evidence within a broader synthesis of sediment effects, and is not limited to other taxa.</x:v>
      </x:c>
      <x:c r="U128" s="7" t="str">
        <x:v>This review explicitly links terrestrial sediment delivery to degradation of the Great Barrier Reef, mentioning coral bleaching and impaired recovery. It is a substantive synthesis with clear coral reef relevance, satisfying B05. The closest alternative would be exclusion for lack of direct coral response data, but the abstract itself states sediment and pollutants play an important role in coral reef degradation, providing assessment-level evidence. The document is not merely a physical transport study; it addresses biological and ecological impacts. Therefore, TIER_B_INCLUDE is appropriate.</x:v>
      </x:c>
      <x:c r="V128" s="7" t="str">
        <x:v>ALL_VERIFIED_NON_TROPICAL_TIER_B_INCLUSIONS</x:v>
      </x:c>
      <x:c r="W128" s="7" t="str">
        <x:v>TBV1-1325</x:v>
      </x:c>
    </x:row>
    <x:row r="129" ht="42" customHeight="1">
      <x:c r="A129" s="14" t="str">
        <x:v>B</x:v>
      </x:c>
      <x:c r="B129" s="7" t="str">
        <x:v>CWC-9C9F83D53A15</x:v>
      </x:c>
      <x:c r="C129" s="7" t="str">
        <x:v>Rock and roll: experiments on substrate movement and coral settlement</x:v>
      </x:c>
      <x:c r="D129" s="7" t="str">
        <x:v>Andrew Heyward | Christine Giuliano | Cathie A. Page | Carly J. Randall</x:v>
      </x:c>
      <x:c r="E129" s="11" t="str">
        <x:v>2024</x:v>
      </x:c>
      <x:c r="F129" s="7" t="str">
        <x:v>Coral Reefs</x:v>
      </x:c>
      <x:c r="G129" s="7" t="str">
        <x:v>article</x:v>
      </x:c>
      <x:c r="H129" s="7" t="str">
        <x:v>10.1007/s00338-024-02547-z</x:v>
      </x:c>
      <x:c r="I129" s="7" t="str">
        <x:v>https://doi.org/10.1007/s00338-024-02547-z</x:v>
      </x:c>
      <x:c r="J129" s="7" t="str">
        <x:v>Rubble is ubiquitous on coral reefs and can aggregate into fields, forming a significant component of the reef substrate. Rubble fields often remain unconsolidated, with the component rubble pieces subject to movement that is dependent on hydrodynamic forcing, rubble size, shape, and other factors. Settlement of corals to rubble fields has long been assumed, but the dynamic movement of rubble pieces has been presumed to deter settlement and is thought to contribute to high post-settlement mortality. Rubble often forms on coral reefs following severe disturbances, and is predicted to increase under climate change, with the potential to impact settlement and recruitment-dependent recovery processes. Through a series of laboratory and field experiments, we demonstrate that corals from broadcast spawning species on the Great Barrier Reef will settle on unstable substrates, even those in constant motion. We also observed more coral spat on settlement tiles suspended in the water column than those fixed to the reef using a common approach to censusing settlement. Sampling of natural rubble on the reef 50 days after a mass-spawning event confirmed the presence of similar numbers of coral settlers on rubble and on tiles fixed to the reef. These results suggest that rubble fields are places of significant settlement for broadcast spawning corals. Suspended tiles were also surprisingly effective in collecting coral settlers, demonstrating that a change in sampling protocol can produce significant variation in settlement data and strengthening the argument for standardisation of settlement-monitoring protocols, particularly at a time of growing need for reliable metrics. These results also suggest that movement of rubble is not precluding settlement outright, but rather post-settlement processes (i.e. competition, predation, shading or burial by shifting rubble) are limiting recruitment to rubble patches. Consequently, rubble stabilisation may increase the survival of spat that have settled in these environments.</x:v>
      </x:c>
      <x:c r="K129" s="11" t="str">
        <x:v>YES</x:v>
      </x:c>
      <x:c r="L129" s="7" t="str">
        <x:v>FROZEN_PUBLIC_FULL_TEXT_LOCATION</x:v>
      </x:c>
      <x:c r="M129" s="7" t="str">
        <x:v>https://link.springer.com/content/pdf/10.1007/s00338-024-02547-z.pdf</x:v>
      </x:c>
      <x:c r="N129" s="7" t="str">
        <x:v>VERIFIED_DOI_DOCUMENT</x:v>
      </x:c>
      <x:c r="O129" s="7" t="str">
        <x:v>B04_TROPICAL_PHYSICAL_SEDIMENT_ANALOGUE</x:v>
      </x:c>
      <x:c r="P129" s="11" t="str">
        <x:v>HIGH</x:v>
      </x:c>
      <x:c r="Q129" s="7" t="str">
        <x:v>Broadcast spawning corals on the Great Barrier Reef; coral spat/settlers observed on rubble and settlement tiles.</x:v>
      </x:c>
      <x:c r="R129" s="7" t="str">
        <x:v>Unstable/rubble substrate subject to movement; potential burial by shifting rubble; also suspended tiles compared to fixed tiles.</x:v>
      </x:c>
      <x:c r="S129" s="7" t="str">
        <x:v>Coral settlement success on moving substrates; post-settlement mortality/recruitment limitation due to burial and other processes; settlement counts on natural rubble and tiles.</x:v>
      </x:c>
      <x:c r="T129" s="7" t="str">
        <x:v>Tropical coral study directly experimentally testing physical substrate movement/instability and burial-related effects on settlement, an eligible biological response under B04.</x:v>
      </x:c>
      <x:c r="U129" s="7" t="str">
        <x:v>This article reports laboratory and field experiments on coral settlement onto unstable, moving rubble. The study directly addresses a physical sediment-related stressor (substrate movement and potential burial by shifting rubble) and measures settlement, a clearly relevant biological response. Although rubble is coarse, the burial and smothering pathway is explicitly identified as a post-settlement mortality factor. This matches B04's scope of tropical physical sediment analogues with direct experimental testing and relevant responses. It is not merely mention of sediment; the experiments are central. The record is a substantive peer-reviewed article, so it is eligible for Tier B inclusion. Confidence is high due to explicit abstract content.</x:v>
      </x:c>
      <x:c r="V129" s="7" t="str">
        <x:v>SPARING_TOP_25_TROPICAL_DIRECT_PHYSICAL_ANALOGUES</x:v>
      </x:c>
      <x:c r="W129" s="7" t="str">
        <x:v>TBV1-1200</x:v>
      </x:c>
    </x:row>
    <x:row r="130" ht="42" customHeight="1">
      <x:c r="A130" s="14" t="str">
        <x:v>B</x:v>
      </x:c>
      <x:c r="B130" s="7" t="str">
        <x:v>CWC-C50EA41AD172</x:v>
      </x:c>
      <x:c r="C130" s="7" t="str">
        <x:v>RRS Charles Darwin Cruise 179, 14 Apr - 17 May 2006. Hotspot ecosystem research in the Setúbal, Lisbon, Cascais and Nazaré canyons on the Portuguese continental margin</x:v>
      </x:c>
      <x:c r="D130" s="7" t="str">
        <x:v>D. S. M. Billett</x:v>
      </x:c>
      <x:c r="E130" s="11" t="str">
        <x:v>2006</x:v>
      </x:c>
      <x:c r="F130" s="7" t="str">
        <x:v>ePrints Soton (University of Southampton)</x:v>
      </x:c>
      <x:c r="G130" s="7" t="str">
        <x:v>book</x:v>
      </x:c>
      <x:c r="H130" s="7" t="str"/>
      <x:c r="I130" s="7" t="str">
        <x:v>https://eprints.soton.ac.uk/43104/1/nocscr013.pdf</x:v>
      </x:c>
      <x:c r="J130" s="7" t="str">
        <x:v>RRS Charles Darwin Cruise 179 was one of a series of cruises studying the biology, geology, biogeochemistry and physical oceanography of the Portuguese margin canyons. The cruise contributed to the European Union Framework Programme VI Integrated Project HERMES (Hotspot Ecosystem Research on the Margins of European Seas). Four key canyon areas on the European margin are being studied in HERMES: the Portuguese margin, the Irish margin and the Western and Eastern Mediterranean. On the Portuguese margin four canyons had been selected for multidisciplinary studies by the HERMES community: the Nazaré Canyon, Setúbal Canyon, Lisbon Canyon and the Cascais Canyon. RRS Charles Darwin cruise 179 was divided into two legs (Cartagena to Lisbon, 14 April to 1 May 2006; Lisbon to Falmouth, 1 to 17 May 2006). Leg 1 focused on the upper and middle parts of the Setúbal and Lisbon canyons, which join together at a depth of about 2000m, and the upper and middle Cascais Canyon. Leg 2 sampled the lower Cascais and Setúbal canyons and a wide variety of depths in the Nazaré Canyon. The principal sampling activities were seabed photographic and video imaging (NOCS SHRIMP system), deep-tow 30 kHz sidescan sonar imaging (NOCS TOBI system), coring (Megacorer, Piston Corer and Box Corer), trawling (Agassiz Trawl), and benthic boundary layer particulate biogeochemistry using CTD-mounted Stand Alone Pump Systems (SAPS). Seabed photo-transects at depths between 300 and 4500m confirmed that large parts of all the canyons were covered in a sediment drape, with little evidence of epifaunal megafauna within the canyon axis, but with localised communities of suspension feeding sponges, cnidarians (soft and stony corals), crinoids and asteroids on rocky ledges around the thalweg (central channel) of the canyons. Photo-transects across the thalwegs of the canyons revealed fascinating changes in the nature of the seabed (e.g. ripple patterns) and fauna (e.g. xenophyophores (giant protozoans) on the flanks of the Nazaré Canyon thalweg). New sidescan sonar images were obtained of the Lisbon and Cascais canyons and the base of the continental slope in the vicinity of the Cascais and Setúbal canyons. Coring and trawling focused on comparable sites at c. 3400m and 4400m in the lower canyons. Burrowing holothurians were evident in all three canyons at c. 3400m, but only in the Nazaré Canyon were they superabundant. This was the penultimate scientific cruise of RRS Charles Darwin. The ship has given UK and European marine science many years of excellent service. She will be greatly missed, and will be succeeded by RRS James Cook in 2006.</x:v>
      </x:c>
      <x:c r="K130" s="11" t="str">
        <x:v>NO</x:v>
      </x:c>
      <x:c r="L130" s="7" t="str">
        <x:v>NOT_CONFIRMED</x:v>
      </x:c>
      <x:c r="M130" s="7" t="str"/>
      <x:c r="N130" s="7" t="str">
        <x:v>VERIFIED_DIRECT_DOCUMENT_URL</x:v>
      </x:c>
      <x:c r="O130" s="7" t="str">
        <x:v>B01_DEEP_COLD_SEDIMENT_EVIDENCE</x:v>
      </x:c>
      <x:c r="P130" s="11" t="str">
        <x:v>MEDIUM</x:v>
      </x:c>
      <x:c r="Q130" s="7" t="str">
        <x:v>Deep-sea stony corals, soft corals (cnidarians), and suspension-feeding sponges observed in Portuguese margin canyons.</x:v>
      </x:c>
      <x:c r="R130" s="7" t="str">
        <x:v>Sediment drape covering large parts of canyons, with little epifaunal megafauna in canyon axis; rocky ledges around thalweg host communities.</x:v>
      </x:c>
      <x:c r="S130" s="7" t="str">
        <x:v>Observational evidence of sparse epifauna in sedimented canyon axes and localized coral/sponge communities on rocky ledges; monitoring photos/video.</x:v>
      </x:c>
      <x:c r="T130" s="7" t="str">
        <x:v>Deep-sea cold-water coral/sponge source with an explicit sediment deposition pathway (sediment drape) and biological/ecological distribution evidence; fits B01.</x:v>
      </x:c>
      <x:c r="U130" s="7" t="str">
        <x:v>Deep-sea canyon cruise report explicitly links sediment drape in canyon axes to sparse epifaunal megafauna, while corals and suspension-feeding sponges occur on rocky ledges. This is ecological condition/monitoring evidence for sediment deposition effects on deep corals/sponges, meeting B01. Chosen B01 over B02 because the record provides primary observational evidence rather than a synthesis/assessment; over B03 because it is deep-sea, not temperate/polar; over B04 because it is not tropical. Confidence medium because abstract provides sufficient details.</x:v>
      </x:c>
      <x:c r="V130" s="7" t="str">
        <x:v>ALL_VERIFIED_NON_TROPICAL_TIER_B_INCLUSIONS</x:v>
      </x:c>
      <x:c r="W130" s="7" t="str">
        <x:v>TBV1-0138</x:v>
      </x:c>
    </x:row>
    <x:row r="131" ht="42" customHeight="1">
      <x:c r="A131" s="14" t="str">
        <x:v>B</x:v>
      </x:c>
      <x:c r="B131" s="7" t="str">
        <x:v>CWC-E052454A24D0</x:v>
      </x:c>
      <x:c r="C131" s="7" t="str">
        <x:v>RV SONNE Fahrtbericht / Cruise Report SO242-1: JPI OCEANS Ecological Aspects of Deep-Sea Mining, DISCOL Revisted, Guayaquil - Guayaquil (Equador), 28.07.-25.08.2015</x:v>
      </x:c>
      <x:c r="D131" s="7" t="str">
        <x:v>Jens Greinert</x:v>
      </x:c>
      <x:c r="E131" s="11" t="str">
        <x:v>2015</x:v>
      </x:c>
      <x:c r="F131" s="7" t="str">
        <x:v>Helmholtz Centre for Ocean Research Kiel (GEOMAR)</x:v>
      </x:c>
      <x:c r="G131" s="7" t="str">
        <x:v>book</x:v>
      </x:c>
      <x:c r="H131" s="7" t="str">
        <x:v>10.3289/geomar_rep_ns_26_2015</x:v>
      </x:c>
      <x:c r="I131" s="7" t="str">
        <x:v>https://doi.org/10.3289/geomar_rep_ns_26_2015</x:v>
      </x:c>
      <x:c r="J131" s="7" t="str">
        <x:v>Cruise SO242/1 ran from 28 July to 25 August 2015 starting and ending in Guayaquil, Ecuador. In \ntotal, 40 scientists from five European countries took part in this cruise of the JPIO project ‚Ecological \nAspects of Deep‐Sea Mining‘ to study the ecological long‐term impact of deep sea disturbances. The \nworking area, the DISCOL area in the Peru Basin, was ploughed in 1989 and thoroughly studied in the \nyears thereafter, the last cruise, SO106, happened in 1996. \nSO242/2 aimed at mapping the DISCOL Experimental Area (DEA) in great detail using ship‐based \nand AUV‐based hydroacoustic and optical methods. To see changes between differently disturbed \nareas and study the possible recovery of the ecosystem, biological sampling occurred with TV‐guided \nmulti‐coring (MUC), box coring (BC) and epi‐benthic sledge tracks (EBS). Additional biological \nsampling for scavenging animals occurred with baited Amphipod‐Traps within and further outside \nthe DEA. For geochemical sampling, multi‐, box and gravity coring (BC) was used. Two lander systems \nequipped with physical sensors such as ADCPs and CTDs were used for current measurements and to \nmonitor sediment plume dispersal created by the EBS. Additional visual studies of the fauna \ndistribution occurred with camera tows (OFOS). \nFive main sampling areas were selected, two within the DEA targeting heavily disturbed \n(ploughed) locations and three reference areas 3 to 4 nmi outside the DEA. All five areas had been \nsampled in the past and can be directly compared concerning ecological changes. Despite a four‐day \nbreak due to medical reasons the work program could almost be completed. Four of the working \nareas were at least sampled with five BCs and MUCs each, and one GC. Box coring could not be \nperformed in the western reference area. In total, 5 CTDs, 27 MUCs, 25 BCs, 7 GCs, 8 EBSs, 5 \nAmphipod‐Traps, 6 lander deployments and 6 OFOS tracks were successfully undertaken and one \nthermistor mooring was deployed. \nIn addition, 16 AUV dives clearly showed that plough marks are still well visible after 26 years. \nThere is a slight sediment cover next to the plough tracks, but first analyses of the faunal distribution \nshow that the sessile fauna has not yet recolonised the tracks. Stalked sponges, corals and anemones \ncan be found outside the tracks but still within the DEA. Their distribution patterns inside the DEA do \nnot vary clearly from those on reference sites. The Mn‐nodule distribution is not homogenous; there \nare areas inside the DEA that do not have nodules at the seafloor surface; they are typically linked to \ndepressions that show low backscatter intensity in the AUV side scan sonar data pointing towards \nless dense sediment infill. In gravity cores, nodules could be recovered even in 9m sediment depth, \nfinding several more or less intact nodules throughout the entire sediment column was common. \nWater current measurements show slow currents (max. 6cm/s) and a strong tide‐influenced current \ndirection, whereas no general direction could be observed. Two ‘disturbance experiments’ \ndemonstrated that sediment plumes can be monitored using high frequency ADCPs (1200 kHz). The \ndisturbance by the EBS created a sediment plume that stayed close to the seafloor. First analyses of \ncurrent trajectories showed that the sediment resettled rather quickly. It became clear that plume \nbehaviour during large‐scale mining cannot be extrapolated from these small‐scale and short‐term \nexperiments. In resume, cruise SO242/1 was very successful and research should continue in the DEA \narea, which is undoubtedly the best studied long‐term deep sea disturbance site in the ocean.</x:v>
      </x:c>
      <x:c r="K131" s="11" t="str">
        <x:v>NO</x:v>
      </x:c>
      <x:c r="L131" s="7" t="str">
        <x:v>NOT_CONFIRMED</x:v>
      </x:c>
      <x:c r="M131" s="7" t="str"/>
      <x:c r="N131" s="7" t="str">
        <x:v>VERIFIED_DOI_DOCUMENT</x:v>
      </x:c>
      <x:c r="O131" s="7" t="str">
        <x:v>B01_DEEP_COLD_SEDIMENT_EVIDENCE</x:v>
      </x:c>
      <x:c r="P131" s="11" t="str">
        <x:v>HIGH</x:v>
      </x:c>
      <x:c r="Q131" s="7" t="str">
        <x:v>Deep-sea sessile fauna, explicitly stalked sponges, corals, and anemones in the DISCOL area (Peru Basin).</x:v>
      </x:c>
      <x:c r="R131" s="7" t="str">
        <x:v>Historical seafloor ploughing (deep-sea mining disturbance), sediment plumes from epibenthic sledge, sediment cover near tracks, resuspension and resettlement of sediment.</x:v>
      </x:c>
      <x:c r="S131" s="7" t="str">
        <x:v>Observations that sessile fauna have not recolonised ploughed tracks; fauna present outside tracks but within the DEA; monitoring of plume dispersal and sediment resettlement; first analyses of faunal distribution.</x:v>
      </x:c>
      <x:c r="T131" s="7" t="str">
        <x:v>Deep-sea cruise report providing direct evidence of sediment-related disturbance effects on cold-water corals and sponges through monitoring of sediment plumes and faunal recolonisation patterns.</x:v>
      </x:c>
      <x:c r="U131" s="7" t="str">
        <x:v>This cruise report for SO242-1 directly investigates ecological impacts of deep-sea mining disturbance, including sediment ploughing and plume formation. It explicitly reports sediment plumes, resettlement, and the distribution of stalked sponges, corals, and anemones relative to ploughed tracks, showing lack of recolonisation. This meets B01 deep/cold sediment evidence with explicit biological response. B02 is less appropriate because this is a primary cruise report rather than a synthesis or assessment, though it also functions as a monitoring document. Exclusions do not apply; organism, pathway, and response are all clearly present.</x:v>
      </x:c>
      <x:c r="V131" s="7" t="str">
        <x:v>ALL_VERIFIED_NON_TROPICAL_TIER_B_INCLUSIONS</x:v>
      </x:c>
      <x:c r="W131" s="7" t="str">
        <x:v>TBV1-0087</x:v>
      </x:c>
    </x:row>
    <x:row r="132" ht="42" customHeight="1">
      <x:c r="A132" s="14" t="str">
        <x:v>B</x:v>
      </x:c>
      <x:c r="B132" s="7" t="str">
        <x:v>GLV4-ED965EF17FED</x:v>
      </x:c>
      <x:c r="C132" s="7" t="str">
        <x:v>Science Advisory Report 2013/062</x:v>
      </x:c>
      <x:c r="D132" s="7" t="str"/>
      <x:c r="E132" s="11" t="str">
        <x:v>2013</x:v>
      </x:c>
      <x:c r="F132" s="7" t="str">
        <x:v>csas-scas.dfo-mpo.gc.ca</x:v>
      </x:c>
      <x:c r="G132" s="7" t="str">
        <x:v>government_report</x:v>
      </x:c>
      <x:c r="H132" s="7" t="str"/>
      <x:c r="I132" s="7" t="str">
        <x:v>https://csas-scas.dfo-mpo.gc.ca/publications/771bf222-d2f3-4ee5-b7ca-2a4e4c5ecb3e</x:v>
      </x:c>
      <x:c r="J132" s="7" t="str">
        <x:v>This Science Advisory Report is from the Identification and Evaluation of Biological Effects and Impacts of Sediment to Sponge Communities in</x:v>
      </x:c>
      <x:c r="K132" s="11" t="str">
        <x:v>NO</x:v>
      </x:c>
      <x:c r="L132" s="7" t="str">
        <x:v>NOT_CONFIRMED</x:v>
      </x:c>
      <x:c r="M132" s="7" t="str"/>
      <x:c r="N132" s="7" t="str">
        <x:v>VERIFIED_BIBLIOGRAPHIC_DOCUMENT</x:v>
      </x:c>
      <x:c r="O132" s="7" t="str">
        <x:v>B02_DEEP_COLD_REVIEW_ASSESSMENT</x:v>
      </x:c>
      <x:c r="P132" s="11" t="str">
        <x:v>HIGH</x:v>
      </x:c>
      <x:c r="Q132" s="7" t="str">
        <x:v>Sponge communities (likely deep/cold-water, Canadian context)</x:v>
      </x:c>
      <x:c r="R132" s="7" t="str">
        <x:v>Sediment exposure and biological impacts</x:v>
      </x:c>
      <x:c r="S132" s="7" t="str">
        <x:v>Evaluation of biological effects and impacts of sediment on sponge communities; science advisory report providing assessment and potential thresholds/vulnerability information</x:v>
      </x:c>
      <x:c r="T132" s="7" t="str">
        <x:v>Government science advisory report directly focused on sediment effects on sponge communities, intended to inform impact assessment and management; meets Tier B review/assessment pathway.</x:v>
      </x:c>
      <x:c r="U132" s="7" t="str">
        <x:v>This is a Fisheries and Oceans Canada Science Advisory Report explicitly titled 'Identification and Evaluation of Biological Effects and Impacts of Sediment to Sponge Communities'. It is a substantive government assessment document directly addressing sediment impacts on cold-water sponges, with clear relevance to effects, exposure, thresholds, and vulnerability. This qualifies under B02_DEEP_COLD_REVIEW_ASSESSMENT. The closest alternative is EXCLUDE if lacking direct sponge evidence, but the title and abstract indicate a targeted sediment-sponge evaluation.</x:v>
      </x:c>
      <x:c r="V132" s="7" t="str">
        <x:v>ALL_VERIFIED_CSAS</x:v>
      </x:c>
      <x:c r="W132" s="7" t="str">
        <x:v>TBV1-0992</x:v>
      </x:c>
    </x:row>
    <x:row r="133" ht="42" customHeight="1">
      <x:c r="A133" s="14" t="str">
        <x:v>B</x:v>
      </x:c>
      <x:c r="B133" s="7" t="str">
        <x:v>CWC-79D114AA011B</x:v>
      </x:c>
      <x:c r="C133" s="7" t="str">
        <x:v>Science Advisory Report 2021/028</x:v>
      </x:c>
      <x:c r="D133" s="7" t="str"/>
      <x:c r="E133" s="11" t="str">
        <x:v>2021</x:v>
      </x:c>
      <x:c r="F133" s="7" t="str">
        <x:v>Fisheries and Oceans Canada</x:v>
      </x:c>
      <x:c r="G133" s="7" t="str">
        <x:v>regulator_assessment</x:v>
      </x:c>
      <x:c r="H133" s="7" t="str"/>
      <x:c r="I133" s="7" t="str">
        <x:v>https://www.dfo-mpo.gc.ca/csas-sccs/Publications/SAR-AS/2021/2021_028-eng.html</x:v>
      </x:c>
      <x:c r="J133" s="7" t="str">
        <x:v># Science Advisory Report 2021/028. ## Coral and Sponge Mitigations in Relation to Exploratory Drilling Programs in the Newfoundland and Labrador Region. * An avoidance and mitigation framework was developed for exploratory drilling to eliminate or minimize impacts on corals and sponges. * It is recommended that exploratory drilling activities (including the zone of influence) do not overlap significant benthic areas (SiBAs) and vulnerable marine ecosystem (VME) habitats. * Outside of SiBAs and VME habitats, the zone of influence from exploratory drilling activities should be at least 2 km awa</x:v>
      </x:c>
      <x:c r="K133" s="11" t="str">
        <x:v>YES</x:v>
      </x:c>
      <x:c r="L133" s="7" t="str">
        <x:v>FROZEN_PUBLIC_FULL_TEXT_LOCATION</x:v>
      </x:c>
      <x:c r="M133" s="7" t="str">
        <x:v>https://www.dfo-mpo.gc.ca/csas-sccs/Publications/SAR-AS/2021/2021_028-eng.html</x:v>
      </x:c>
      <x:c r="N133" s="7" t="str">
        <x:v>VERIFIED_BIBLIOGRAPHIC_DOCUMENT</x:v>
      </x:c>
      <x:c r="O133" s="7" t="str">
        <x:v>B02_DEEP_COLD_REVIEW_ASSESSMENT</x:v>
      </x:c>
      <x:c r="P133" s="11" t="str">
        <x:v>HIGH</x:v>
      </x:c>
      <x:c r="Q133" s="7" t="str">
        <x:v>Corals and sponges in the Newfoundland and Labrador region, including significant benthic areas (SiBAs) and vulnerable marine ecosystem (VME) habitats.</x:v>
      </x:c>
      <x:c r="R133" s="7" t="str">
        <x:v>Exploratory drilling activities, including zone of influence, which encompasses sediment-related impacts such as drill cuttings and drilling muds.</x:v>
      </x:c>
      <x:c r="S133" s="7" t="str">
        <x:v>Avoidance and mitigation framework to eliminate or minimize impacts; recommends no overlap between drilling zone of influence and SiBAs/VMEs; suggests a minimum 2 km separation from sensitive areas.</x:v>
      </x:c>
      <x:c r="T133" s="7" t="str">
        <x:v>B02_DEEP_COLD_REVIEW_ASSESSMENT: A substantive government / regulator assessment (Fisheries and Oceans Canada Science Advisory Report) focused on coral and sponge mitigation in relation to drilling, a sediment-related activity. It provides direct management thresholds and avoidance guidance relevant to sediment exposure from exploratory drilling.</x:v>
      </x:c>
      <x:c r="U133" s="7" t="str">
        <x:v>This record is a Fisheries and Oceans Canada Science Advisory Report specifically addressing coral and sponge mitigations for exploratory drilling in the Newfoundland and Labrador region. It directly concerns cold-water corals and sponges and the sediment-related impacts of drilling (zone of influence, likely including drill cuttings and muds). The document provides assessment and management recommendations, including avoidance of significant benthic areas and a minimum offset distance. This meets Tier B pathway B02 as a deep/cold review or regulatory assessment with a clear sediment-impact focus. It is not merely a reference source (CHAIN_ONLY) because it contains substantive impact and mitigation content, and it is not excluded because the organism, stressor, and assessment are all explicit.</x:v>
      </x:c>
      <x:c r="V133" s="7" t="str">
        <x:v>ALL_VERIFIED_CSAS</x:v>
      </x:c>
      <x:c r="W133" s="7" t="str">
        <x:v>TBV1-0140</x:v>
      </x:c>
    </x:row>
    <x:row r="134" ht="42" customHeight="1">
      <x:c r="A134" s="14" t="str">
        <x:v>B</x:v>
      </x:c>
      <x:c r="B134" s="7" t="str">
        <x:v>SUPP-SSV3-006</x:v>
      </x:c>
      <x:c r="C134" s="7" t="str">
        <x:v>Science Review of the Old Harry Prospect Exploration Drilling Program</x:v>
      </x:c>
      <x:c r="D134" s="7" t="str">
        <x:v>Fisheries and Oceans Canada</x:v>
      </x:c>
      <x:c r="E134" s="11" t="str">
        <x:v>2013</x:v>
      </x:c>
      <x:c r="F134" s="7" t="str">
        <x:v>Canadian Science Advisory Secretariat, Science Response 2013/014</x:v>
      </x:c>
      <x:c r="G134" s="7" t="str">
        <x:v>science response</x:v>
      </x:c>
      <x:c r="H134" s="7" t="str"/>
      <x:c r="I134" s="7" t="str">
        <x:v>https://waves-vagues.dfo-mpo.gc.ca/library-bibliotheque/350500.pdf</x:v>
      </x:c>
      <x:c r="J134" s="7" t="str">
        <x:v>Peer-reviewed technical review of an exploratory-drilling environmental assessment and drill-mud/cuttings dispersion model. It discusses deep-water coral and sponge occurrence near the project and reviews literature on drilling-fluid and cuttings effects, but organism-specific response evidence in the report is uncertain.</x:v>
      </x:c>
      <x:c r="K134" s="11" t="str">
        <x:v>YES</x:v>
      </x:c>
      <x:c r="L134" s="7" t="str">
        <x:v>AUTHORITATIVE_FULL_DOCUMENT</x:v>
      </x:c>
      <x:c r="M134" s="7" t="str">
        <x:v>https://waves-vagues.dfo-mpo.gc.ca/library-bibliotheque/350500.pdf</x:v>
      </x:c>
      <x:c r="N134" s="7" t="str">
        <x:v>VERIFIED_DIRECT_DOCUMENT_URL</x:v>
      </x:c>
      <x:c r="O134" s="7" t="str">
        <x:v>B02_DEEP_COLD_REVIEW_ASSESSMENT</x:v>
      </x:c>
      <x:c r="P134" s="11" t="str">
        <x:v>HIGH</x:v>
      </x:c>
      <x:c r="Q134" s="7" t="str">
        <x:v>Deep-water corals and sponges are discussed in relation to the Old Harry exploration drilling area, including occurrence near the project.</x:v>
      </x:c>
      <x:c r="R134" s="7" t="str">
        <x:v>Drilling fluids and cuttings (suspended particles, deposition, burial) are the primary sediment-related pathways evaluated through dispersion modelling and literature review.</x:v>
      </x:c>
      <x:c r="S134" s="7" t="str">
        <x:v>The report provides a peer-reviewed technical review and regulatory assessment of potential effects from drill mud/cuttings on corals and sponges, with potential to inform effects, exposure, and mitigation, even though organism-specific response evidence is uncertain.</x:v>
      </x:c>
      <x:c r="T134" s="7" t="str">
        <x:v>This is a substantive government science response and assessment from Fisheries and Oceans Canada with a direct sediment-impact focus on deep-water corals and sponges from drilling muds and cuttings. It qualifies under B02 as a deep/cold coral or sponge review, government report, or regulatory assessment with clear potential to inform effects, exposure, thresholds, vulnerability, mitigation, or recovery.</x:v>
      </x:c>
      <x:c r="U134" s="7" t="str">
        <x:v>The record is a DFO Science Response peer-reviewed technical review of the Old Harry exploration drilling program. It explicitly discusses deep-water coral and sponge occurrence near the project and reviews literature on drilling-fluid and cuttings effects. Even though organism-specific response evidence is described as uncertain, the document is a substantive regulatory assessment with a direct sediment-impact focus on target taxa, meeting B02 criteria. It is not merely reference mining (CHAIN_ONLY) because it has clear potential to inform sediment effects on corals and sponges. It is not excluded because it provides relevant evidence for a deep/cold coral/sponge review, despite not providing strict organism-level response data. Confidence is HIGH because the title, metadata, and abstract clearly establish the document type, taxa, and sediment pathway.</x:v>
      </x:c>
      <x:c r="V134" s="7" t="str">
        <x:v>ALL_VERIFIED_CSAS</x:v>
      </x:c>
      <x:c r="W134" s="7" t="str">
        <x:v>TBV1-0410</x:v>
      </x:c>
    </x:row>
    <x:row r="135" ht="42" customHeight="1">
      <x:c r="A135" s="14" t="str">
        <x:v>B</x:v>
      </x:c>
      <x:c r="B135" s="7" t="str">
        <x:v>CWC-BEA6991859F6</x:v>
      </x:c>
      <x:c r="C135" s="7" t="str">
        <x:v>Seamounts in the southeastern Pacific Ocean and biodiversity on Juan Fernandez seamounts, Chile</x:v>
      </x:c>
      <x:c r="D135" s="7" t="str">
        <x:v>Eleuterio Yáñez | Cláudio Silva | Rodrigo Vega | Fernando Espíndola | Lorena Álvarez | Nelson Silva | Sergio Palma | Sergio Salinas | Eduardo Menschel | Verena Häussermann | Daniela C. Soto | Nadín Ramirez</x:v>
      </x:c>
      <x:c r="E135" s="11" t="str">
        <x:v>2009</x:v>
      </x:c>
      <x:c r="F135" s="7" t="str">
        <x:v>Latin American Journal of Aquatic Research</x:v>
      </x:c>
      <x:c r="G135" s="7" t="str">
        <x:v>article</x:v>
      </x:c>
      <x:c r="H135" s="7" t="str">
        <x:v>10.3856/vol37-issue3-fulltex-19</x:v>
      </x:c>
      <x:c r="I135" s="7" t="str">
        <x:v>https://doi.org/10.3856/vol37-issue3-fulltex-19</x:v>
      </x:c>
      <x:c r="J135" s="7" t="str">
        <x:v>Seamounts are vulnerable marine ecosystems.In Chile, information on these ecosystems is quite scarce; thus, a compilation of information on their geographical distribution and biodiversity is presented herein.A total of 118 seamounts distributed in the Chilean EEZ are identified and characterized.Additionally, an in situ assessment was carried out on the Juan Fernandez seamounts 1 and 2 (JF1 and JF2), which were also oceanographically characterized.Phytoplankton, zooplankton, and marine invertebrate samples were collected and an exploratory fishing survey was executed using different gears.According to the bibliographical review, a total of 82 species have been collected on the JF1 and JF2 seamounts, highlighting findings of black coral species caught in lobster traps at the Juan Fernandez Archipelago.Submarine images of the marine substrate at JF1 and JF2 reveal characteristics attributable to the impact of bottom dredges, coinciding with the information obtained from the trawling fleet.The fishing activity was carried out primarily at JF2 (4,667 km of trawling).The monthly fishing effort increased considerably in 2002, 2003, and 2005, reaching values above 500 km of trawling and, thus, modifying the spatial structure of the resource aggregates on the JF2 seamount.</x:v>
      </x:c>
      <x:c r="K135" s="11" t="str">
        <x:v>NO</x:v>
      </x:c>
      <x:c r="L135" s="7" t="str">
        <x:v>NOT_CONFIRMED</x:v>
      </x:c>
      <x:c r="M135" s="7" t="str"/>
      <x:c r="N135" s="7" t="str">
        <x:v>VERIFIED_DOI_DOCUMENT</x:v>
      </x:c>
      <x:c r="O135" s="7" t="str">
        <x:v>B01_DEEP_COLD_SEDIMENT_EVIDENCE</x:v>
      </x:c>
      <x:c r="P135" s="11" t="str">
        <x:v>MEDIUM</x:v>
      </x:c>
      <x:c r="Q135" s="7" t="str">
        <x:v>Black coral species (Antipatharia) collected at Juan Fernandez seamounts; deep-sea/cold-water corals recognized as vulnerable marine ecosystem components.</x:v>
      </x:c>
      <x:c r="R135" s="7" t="str">
        <x:v>Bottom dredging and trawling impacts on seamount substrate; physical disturbance with likely sediment resuspension and habitat modification.</x:v>
      </x:c>
      <x:c r="S135" s="7" t="str">
        <x:v>Submarine substrate images reveal characteristics attributable to bottom dredge impact; assessment links increased fishing effort to modifications in the spatial structure of resource aggregates.</x:v>
      </x:c>
      <x:c r="T135" s="7" t="str">
        <x:v>The source documents deep-sea/cold-water coral occurrence and provides impact evidence from dredging, an explicit sediment-related pathway in Tier B, thereby meeting B01.</x:v>
      </x:c>
      <x:c r="U135" s="7" t="str">
        <x:v>This article identifies black corals at Chilean seamounts and reports bottom-dredge/trawling impacts visible in substrate images, linking fishing effort to alteration of resource aggregates. Although sediment is not explicitly named, dredging is an explicit sediment-related pathway in Tier B, and the record provides impact evidence for cold-water corals. It therefore qualifies under B01. It is preferable to B02 because the document is a primary biodiversity/impact assessment rather than a review; it is not excluded because coral evidence and a dredging pathway are present.</x:v>
      </x:c>
      <x:c r="V135" s="7" t="str">
        <x:v>ALL_VERIFIED_CENTRAL_PEER_REVIEWED</x:v>
      </x:c>
      <x:c r="W135" s="7" t="str">
        <x:v>TBV1-0158</x:v>
      </x:c>
    </x:row>
    <x:row r="136" ht="42" customHeight="1">
      <x:c r="A136" s="14" t="str">
        <x:v>B</x:v>
      </x:c>
      <x:c r="B136" s="7" t="str">
        <x:v>CWC-798B390FBB3C</x:v>
      </x:c>
      <x:c r="C136" s="7" t="str">
        <x:v>Seasonal trophic ecology of the dominant Antarctic coral Malacobelemnon daytoni (Octocorallia, Pennatulacea, Kophobelemnidae)</x:v>
      </x:c>
      <x:c r="D136" s="7" t="str">
        <x:v>Natalia Servetto | Sérgio Rossi | V. Fuentes | Gastón Alurralde | Cristian Lagger | Ricardo Sahade</x:v>
      </x:c>
      <x:c r="E136" s="11" t="str">
        <x:v>2017</x:v>
      </x:c>
      <x:c r="F136" s="7" t="str">
        <x:v>Marine Environmental Research</x:v>
      </x:c>
      <x:c r="G136" s="7" t="str">
        <x:v>article</x:v>
      </x:c>
      <x:c r="H136" s="7" t="str">
        <x:v>10.1016/j.marenvres.2017.08.003</x:v>
      </x:c>
      <x:c r="I136" s="7" t="str">
        <x:v>https://doi.org/10.1016/j.marenvres.2017.08.003</x:v>
      </x:c>
      <x:c r="J136" s="7" t="str">
        <x:v>Antarctic ecosystems present highly marked seasonal patterns in energy input, which in turn determines the biology and ecology of marine invertebrate species. This relationship is stronger at lower levels of the food web, while upper levels may be less dependent on primary production pulses. The pennatulid Malacobelemnon daytoni, is one of the most abundant species in Potter Cove, Antarctica. In order to assess its trophic ecology and energetic strategies, its biochemical (carbohydrates, proteins and lipids), Fatty Acid (FA) and Stable Isotope (SI) (delta N-15 and delta C-13) compositions were studied over a year-round period. The FA and SI profiles suggest an omnivorous diet and opportunistic feeding strategy for the species. These results, together with biochemical analysis (higher lipid and carbohydrate concentration observed in July and October 2009), support the hypothesis that resuspension events may be an important source of energy, reducing the seasonality of food depletion periods in winter. The evidence presented here gives us a better insight into the success that this species has in Potter Cove and under the current environmental changes experienced by the Antarctic Peninsula. (C) 2017 Elsevier Ltd. All rights reserved.</x:v>
      </x:c>
      <x:c r="K136" s="11" t="str">
        <x:v>YES</x:v>
      </x:c>
      <x:c r="L136" s="7" t="str">
        <x:v>FROZEN_PUBLIC_FULL_TEXT_LOCATION</x:v>
      </x:c>
      <x:c r="M136" s="7" t="str"/>
      <x:c r="N136" s="7" t="str">
        <x:v>VERIFIED_DOI_DOCUMENT</x:v>
      </x:c>
      <x:c r="O136" s="7" t="str">
        <x:v>B01_DEEP_COLD_SEDIMENT_EVIDENCE</x:v>
      </x:c>
      <x:c r="P136" s="11" t="str">
        <x:v>HIGH</x:v>
      </x:c>
      <x:c r="Q136" s="7" t="str">
        <x:v>Antarctic pennatulid coral Malacobelemnon daytoni (Octocorallia, Pennatulacea, Kophobelemnidae), an abundant species in Potter Cove, Antarctica.</x:v>
      </x:c>
      <x:c r="R136" s="7" t="str">
        <x:v>Resuspension events as an important source of energy, representing a suspended-particle/deposition pathway that supports the coral during winter.</x:v>
      </x:c>
      <x:c r="S136" s="7" t="str">
        <x:v>Seasonal trophic ecology and energetic strategies assessed through biochemical (carbohydrates, proteins, lipids), fatty acid, and stable isotope analyses; higher lipid and carbohydrate concentrations in July and October 2009 linked to resuspension.</x:v>
      </x:c>
      <x:c r="T136" s="7" t="str">
        <x:v>B01: A cold-water (Antarctic) coral with an explicit sediment pathway (resuspension) and biological/ecological evidence (trophic ecology and energy acquisition). The response is indirect but substantively linked to sediment-derived resources.</x:v>
      </x:c>
      <x:c r="U136" s="7" t="str">
        <x:v>The organism is a cold-water Antarctic coral (Malacobelemnon daytoni). The abstract explicitly mentions resuspension events as a key energy source, providing an explicit sediment pathway (suspended particles/resuspension). The response evidence includes seasonal trophic ecology, biochemical composition, fatty acid, and stable isotope data, constituting biological/ecological evidence. This matches B01, which allows indirect evidence. The closest alternative is CHAIN_ONLY, but the resuspension pathway is not merely incidental; it is hypothesized as a major energy source with supporting data, and coral-specific ecology is a central focus. Excluding would ignore the explicit sedimentary energy pathway. Therefore TIER_B_INCLUDE with B01 is appropriate.</x:v>
      </x:c>
      <x:c r="V136" s="7" t="str">
        <x:v>ALL_VERIFIED_CENTRAL_PEER_REVIEWED</x:v>
      </x:c>
      <x:c r="W136" s="7" t="str">
        <x:v>TBV1-1387</x:v>
      </x:c>
    </x:row>
    <x:row r="137" ht="42" customHeight="1">
      <x:c r="A137" s="14" t="str">
        <x:v>B</x:v>
      </x:c>
      <x:c r="B137" s="7" t="str">
        <x:v>CWC-4E8B22E48B78</x:v>
      </x:c>
      <x:c r="C137" s="7" t="str">
        <x:v>Seasonal Variability in Near-bed Environmental Conditions in the Vazella pourtalesii Glass Sponge Grounds of the Scotian Shelf</x:v>
      </x:c>
      <x:c r="D137" s="7" t="str">
        <x:v>Ulrike Hanz | Lindsay Beazley | Ellen Kenchington | Gerard Duineveld | Hans Tore Rapp | Furu Mienis</x:v>
      </x:c>
      <x:c r="E137" s="11" t="str">
        <x:v>2021</x:v>
      </x:c>
      <x:c r="F137" s="7" t="str">
        <x:v>Frontiers in Marine Science</x:v>
      </x:c>
      <x:c r="G137" s="7" t="str">
        <x:v>article</x:v>
      </x:c>
      <x:c r="H137" s="7" t="str">
        <x:v>10.3389/fmars.2020.597682</x:v>
      </x:c>
      <x:c r="I137" s="7" t="str">
        <x:v>https://doi.org/10.3389/fmars.2020.597682</x:v>
      </x:c>
      <x:c r="J137" s="7" t="str">
        <x:v>The Scotian Shelf harbors unique aggregations of the glass sponge Vazella pourtalesii that provides an important habitat for benthic and pelagic fauna. Recent studies have shown that these sponge grounds have persisted in the face of strong interannual and multi-decadal variability in temperature and salinity. However, little is known of these environmental characteristics on hourly-seasonal time scales. This study presents the first hydrodynamic observations and associated (food) particle supply mechanisms for the Vazella sponge grounds, highlighting the influence of natural variability in environmental conditions on sponge growth and resilience. Near-bottom environmental conditions were characterized by high temporal resolution data collected with a benthic lander, deployed during a period of 10 months in the Sambro Bank Sponge Conservation Area. The lander was equipped with temperature and oxygen sensors, a current meter, a sediment trap and a video camera. In addition, water column profiles of temperature and salinity were collected in an array across the sponge grounds from high to lower sponge presence probability. Over the course of the lander deployment, temperature fluctuated between 8.8-12 degrees C with an average of 10.6 +/- 0.4 degrees C. Dissolved oxygen concentration was on average 6.3 mg I-1, and near-bottom current speed was on average 0.12 m s(-1), with peaks up to 0.47 m s(-1). Semi-diurnal tidal currents promoted constant resuspension of particulate matter in the benthic boundary layer. Surface storm events episodically caused extremely turbid conditions on the seafloor that persisted for several days, with particles being resuspended to more than 13 m above the seabed. The carbon flux in the near-bottom sediment trap peaked during storm events and also after a spring bloom in April, when fresh phytodetritus was observed in the bottom boundary layer. While resuspension events can represent a major stressor for sponges, limiting their filtration capability and remobilizing them, episodes of strong currents and lateral particle transport likely play an important role in food supply and the replenishment of nutrients and oxygen. Our results contextualize human-induced threats such as bottom fishing and climate change by providing more knowledge of the natural environmental conditions under which sponge grounds persist.</x:v>
      </x:c>
      <x:c r="K137" s="11" t="str">
        <x:v>YES</x:v>
      </x:c>
      <x:c r="L137" s="7" t="str">
        <x:v>FROZEN_PUBLIC_FULL_TEXT_LOCATION</x:v>
      </x:c>
      <x:c r="M137" s="7" t="str">
        <x:v>https://www.frontiersin.org/articles/10.3389/fmars.2020.597682/pdf</x:v>
      </x:c>
      <x:c r="N137" s="7" t="str">
        <x:v>VERIFIED_DOI_DOCUMENT</x:v>
      </x:c>
      <x:c r="O137" s="7" t="str">
        <x:v>B01_DEEP_COLD_SEDIMENT_EVIDENCE</x:v>
      </x:c>
      <x:c r="P137" s="11" t="str">
        <x:v>HIGH</x:v>
      </x:c>
      <x:c r="Q137" s="7" t="str">
        <x:v>Cold-water glass sponge Vazella pourtalesii and its sponge grounds on the Scotian Shelf.</x:v>
      </x:c>
      <x:c r="R137" s="7" t="str">
        <x:v>Near-bed sediment resuspension, turbidity, suspended particulate matter, and storm-driven turbid conditions documented with benthic lander and sediment traps.</x:v>
      </x:c>
      <x:c r="S137" s="7" t="str">
        <x:v>Environmental characterization linking natural sediment resuspension and turbidity to sponge growth, resilience, filtration capability, and potential stress; monitoring of near-bottom conditions over 10 months.</x:v>
      </x:c>
      <x:c r="T137" s="7" t="str">
        <x:v>Deep-sea/cold-water sponge study with explicit sediment/turbidity pathway and ecological evidence, meeting B01.</x:v>
      </x:c>
      <x:c r="U137" s="7" t="str">
        <x:v>This article directly addresses cold-water glass sponge grounds, measuring near-bed sediment resuspension and turbidity as environmental drivers. It discusses how resuspension events can stress sponges by limiting filtration capability and remobilizing them, while also providing food supply. The study uses benthic lander, sediment trap, and video data, offering monitoring and ecological context for sediment effects on sponges. This is a substantive, targeted evidence record for sediment-related impacts on deep-sea sponges, fitting B01. It is not merely physical oceanography because it explicitly links sediment processes to sponge biology and resilience, and it is not excluded by other criteria.</x:v>
      </x:c>
      <x:c r="V137" s="7" t="str">
        <x:v>ALL_VERIFIED_CENTRAL_PEER_REVIEWED</x:v>
      </x:c>
      <x:c r="W137" s="7" t="str">
        <x:v>TBV1-0024</x:v>
      </x:c>
    </x:row>
    <x:row r="138" ht="42" customHeight="1">
      <x:c r="A138" s="14" t="str">
        <x:v>B</x:v>
      </x:c>
      <x:c r="B138" s="7" t="str">
        <x:v>CWC-C1963903542C</x:v>
      </x:c>
      <x:c r="C138" s="7" t="str">
        <x:v>Sediment accumulation on a cold-water carbonate mound at the Southwest Rockall Trough margin</x:v>
      </x:c>
      <x:c r="D138" s="7" t="str">
        <x:v>Furu Mienis | Cees van der Land | Henko de Stigter | M. van de Vorstenbosch | H. de Haas | Thomas Richter | Tj.C.E. van Weering</x:v>
      </x:c>
      <x:c r="E138" s="11" t="str">
        <x:v>2009</x:v>
      </x:c>
      <x:c r="F138" s="7" t="str">
        <x:v>Marine Geology</x:v>
      </x:c>
      <x:c r="G138" s="7" t="str">
        <x:v>article</x:v>
      </x:c>
      <x:c r="H138" s="7" t="str">
        <x:v>10.1016/j.margeo.2009.06.014</x:v>
      </x:c>
      <x:c r="I138" s="7" t="str">
        <x:v>https://doi.org/10.1016/j.margeo.2009.06.014</x:v>
      </x:c>
      <x:c r="J138" s="7" t="str">
        <x:v>Cold-water corals build isolated and clustered carbonate mound ridges, several kilometres long and wide and up to 380 m high at the Southwest Rockall Trough margin. Photo and video observations as well as coring have shown that mainly the upper mound flanks and summits are covered with a thriving living coral cover and associated fauna. Box cores prove the presence of living coral colonies on top of a thick layer of coral which is to a large extent abraded and bio-eroded, before being buried. The coral framework is filled debris, with sediment from settling pelagic material and parts of the fauna living at the mounds, resulting in a 120 cm thick layer of sediments since 10,800 yr. Component analysis of a piston core from the top of a carbonate mound shows a complete record of cold-comprising many different species living at the mounds. An alternation of skeletal water coral mound facies, and cement dominated intervals was distinguished in the piston core. Stable isotope analysis of planktonic and benthic foraminifera indicates a continuous sedimentation pattern since the Younger Dryas. The deeper and older part of the core, showing mainly intermediate isotope values, is dominated by the presence of large hiatuses, spanning a total of up to 200,000 yr. Hiatuses in the core may reflect periods of non-deposition or which may be linked to glacial-interglacial variability. Environmental conditions probably change at erosion, glacial-interglacial timescales, influencing the local hydrodynamic regime, food supply and sedimentation rate around the carbonate mounds affecting coral growth and therefore carbonate mound development. (C) 2009 Elsevier B.V. All rights reserved.</x:v>
      </x:c>
      <x:c r="K138" s="11" t="str">
        <x:v>NO</x:v>
      </x:c>
      <x:c r="L138" s="7" t="str">
        <x:v>NOT_CONFIRMED</x:v>
      </x:c>
      <x:c r="M138" s="7" t="str"/>
      <x:c r="N138" s="7" t="str">
        <x:v>VERIFIED_DOI_DOCUMENT</x:v>
      </x:c>
      <x:c r="O138" s="7" t="str">
        <x:v>B01_DEEP_COLD_SEDIMENT_EVIDENCE</x:v>
      </x:c>
      <x:c r="P138" s="11" t="str">
        <x:v>MEDIUM</x:v>
      </x:c>
      <x:c r="Q138" s="7" t="str">
        <x:v>Cold-water corals (framework-forming) on carbonate mounds at the Southwest Rockall Trough margin, with living coral cover and associated fauna.</x:v>
      </x:c>
      <x:c r="R138" s="7" t="str">
        <x:v>Sediment accumulation and deposition on the mound, including a 120 cm thick sediment layer over 10,800 years, burial of coral framework, and inferred changes in sedimentation rate, hydrodynamic regime, and hiatuses.</x:v>
      </x:c>
      <x:c r="S138" s="7" t="str">
        <x:v>Coral framework burial and bioerosion, presence of living coral colonies on older buried framework, and inferred influence of sedimentation rate and environmental conditions on coral growth and mound development.</x:v>
      </x:c>
      <x:c r="T138" s="7" t="str">
        <x:v>B01: Deep/cold-water coral source with an explicit sediment deposition/burial pathway and indirect biological/ecological evidence linking sedimentation to coral growth and mound development, suitable for Tier B synthesis.</x:v>
      </x:c>
      <x:c r="U138" s="7" t="str">
        <x:v>This record reports on cold-water coral mounds and sediment accumulation, explicitly linking sedimentation rate and environmental variability to coral growth and mound development. Although the study is primarily geological and paleoceanographic, it provides indirect evidence for sediment-related effects on cold-water corals: living coral cover is described, coral framework is buried under 120 cm of sediment, and changes in sedimentation are inferred to affect coral growth. This meets the B01 pathway because it is a deep/cold-water coral source with an explicit sediment pathway and biological/ecological response, even if indirect. The closest alternative is EXCLUDE (X03) for lacking direct response evidence, but the abstract's clear linkage between sedimentation and coral growth makes inclusion more appropriate under the wider-berth Tier B criteria.</x:v>
      </x:c>
      <x:c r="V138" s="7" t="str">
        <x:v>ALL_VERIFIED_CENTRAL_PEER_REVIEWED</x:v>
      </x:c>
      <x:c r="W138" s="7" t="str">
        <x:v>TBV1-0044</x:v>
      </x:c>
    </x:row>
    <x:row r="139" ht="42" customHeight="1">
      <x:c r="A139" s="14" t="str">
        <x:v>B</x:v>
      </x:c>
      <x:c r="B139" s="7" t="str">
        <x:v>CWC-01E9A147C36C</x:v>
      </x:c>
      <x:c r="C139" s="7" t="str">
        <x:v>Sediment source and dose influence the larval performance of the threatened coral Orbicella faveolata</x:v>
      </x:c>
      <x:c r="D139" s="7" t="str">
        <x:v>Xaymara M. Serrano | Stephanie Rosales | Margaret W. Miller | Ana M. Palacio‐Castro | Olivia M. Williamson | Andrea Gómez | Andrew C. Baker</x:v>
      </x:c>
      <x:c r="E139" s="11" t="str">
        <x:v>2023</x:v>
      </x:c>
      <x:c r="F139" s="7" t="str">
        <x:v>bioRxiv (Cold Spring Harbor Laboratory)</x:v>
      </x:c>
      <x:c r="G139" s="7" t="str">
        <x:v>preprint</x:v>
      </x:c>
      <x:c r="H139" s="7" t="str">
        <x:v>10.1101/2023.09.22.559035</x:v>
      </x:c>
      <x:c r="I139" s="7" t="str">
        <x:v>https://doi.org/10.1101/2023.09.22.559035</x:v>
      </x:c>
      <x:c r="J139" s="7" t="str">
        <x:v>Abstract The effects of turbidity and sedimentation stress on early life stages of corals are poorly understood, particularly in Atlantic species. Dredging operations, beach nourishment, and other coastal construction activities can increase sedimentation and turbidity in nearby coral reef habitats and have the potential to negatively affect coral larval development and metamorphosis, reducing sexual reproduction success. In this study, we investigated the performance of larvae of the threatened Caribbean coral species Orbicella faveolata exposed to sediments collected from a reef site in southeast Florida recently impacted by dredging (Port Miami), and compared it to the performance of larvae exposed to sediments collected from the offshore, natal reef of the parent colonies. In a laboratory experiment, we tested whether low and high doses of each of these sediment types affected the survival, settlement, and respiration of coral larvae compared to a no-sediment control treatment. In addition, we analyzed the sediments used in the experiments with 16S rRNA gene amplicon sequencing to assess differences in the microbial communities present in the Port versus Reef sediments, and their potential impact on coral performance. Overall, O. faveolata larvae exposed to high doses of either sediment type (Port or Reef) exhibited reduced survival and settlement rates, but only the Port sediments resulted in adverse effects in the low-dose treatment. Sediments collected near the Port also contained different microbiomes than Reef sediments, and higher relative abundances of the bacteria Desulfobacterales, which has been associated with coral disease. We hypothesize that differences in microbiomes between the two sediments may be a contributing factor in explaining the observed differences in larval performance. Together, these results suggest that the settlement success and survival of O. faveolata larvae are more readily compromised by encountering port inlet sediments compared to reef sediments, with potentially important consequences for the recruitment success of this species in affected areas.</x:v>
      </x:c>
      <x:c r="K139" s="11" t="str">
        <x:v>YES</x:v>
      </x:c>
      <x:c r="L139" s="7" t="str">
        <x:v>FROZEN_PUBLIC_FULL_TEXT_LOCATION</x:v>
      </x:c>
      <x:c r="M139" s="7" t="str">
        <x:v>https://www.biorxiv.org/content/biorxiv/early/2023/09/26/2023.09.22.559035.1.full.pdf</x:v>
      </x:c>
      <x:c r="N139" s="7" t="str">
        <x:v>VERIFIED_DOI_DOCUMENT</x:v>
      </x:c>
      <x:c r="O139" s="7" t="str">
        <x:v>B04_TROPICAL_PHYSICAL_SEDIMENT_ANALOGUE</x:v>
      </x:c>
      <x:c r="P139" s="11" t="str">
        <x:v>HIGH</x:v>
      </x:c>
      <x:c r="Q139" s="7" t="str">
        <x:v>Tropical Caribbean coral Orbicella faveolata (larvae).</x:v>
      </x:c>
      <x:c r="R139" s="7" t="str">
        <x:v>Sediment exposure from port (dredged) and reef sediments at low and high doses, representing sedimentation and turbidity stress.</x:v>
      </x:c>
      <x:c r="S139" s="7" t="str">
        <x:v>Measured larval survival, settlement, and respiration; reduced survival and settlement at high doses, adverse effects at low dose for port sediments.</x:v>
      </x:c>
      <x:c r="T139" s="7" t="str">
        <x:v>Direct experimental test of physical sediment exposure on a tropical coral with clearly relevant biological responses (survival, settlement, respiration). This is broader than Tier A but fits B04.</x:v>
      </x:c>
      <x:c r="U139" s="7" t="str">
        <x:v>The study experimentally exposes larvae of the tropical coral Orbicella faveolata to sediments from dredging-impacted and reef sites, measuring survival, settlement, and respiration. This directly addresses physical sediment exposure and reports relevant biological responses, satisfying B04_TROPICAL_PHYSICAL_SEDIMENT_ANALOGUE. The record is a substantive preprint with identifiable content. Exclusions do not apply because there is a clear sediment pathway and coral-specific response evidence. The closest alternative would be B01, but the coral is tropical, not deep/cold, so B04 is appropriate.</x:v>
      </x:c>
      <x:c r="V139" s="7" t="str">
        <x:v>SPARING_TOP_25_TROPICAL_DIRECT_PHYSICAL_ANALOGUES</x:v>
      </x:c>
      <x:c r="W139" s="7" t="str">
        <x:v>TBV1-1204</x:v>
      </x:c>
    </x:row>
    <x:row r="140" ht="42" customHeight="1">
      <x:c r="A140" s="14" t="str">
        <x:v>B</x:v>
      </x:c>
      <x:c r="B140" s="7" t="str">
        <x:v>GLV4-493BCAF014F3</x:v>
      </x:c>
      <x:c r="C140" s="7" t="str">
        <x:v>sedimentation damage to reef corals</x:v>
      </x:c>
      <x:c r="D140" s="7" t="str"/>
      <x:c r="E140" s="11" t="str"/>
      <x:c r="F140" s="7" t="str">
        <x:v>espis.boem.gov</x:v>
      </x:c>
      <x:c r="G140" s="7" t="str">
        <x:v>report</x:v>
      </x:c>
      <x:c r="H140" s="7" t="str"/>
      <x:c r="I140" s="7" t="str">
        <x:v>https://espis.boem.gov/Final%20Reports/2732.pdf</x:v>
      </x:c>
      <x:c r="J140" s="7" t="str">
        <x:v>ACKNOWLEDGEMENTS I am indebted to the many people who assisted in this study. Work was supported primarily by NSF grant INT-8421225 and by the East-West Center. LITERATURE CITED Edmondson, C.H. 1928. The ecology of an Hawaiian coral reef. B.P. Bishop Museum Bull. 45, Guy, H.P. and V.W. Norman. 1970. Field methods for measurement of fluvial sediment. U. S. Geol. Survey Techniques Water-Resources Investig., book 3, chap. c2. Hamilton, L. and P. N. King. 1983. Tropical forested watersheds. Westview, Boulder, Colorado. Hodgson, G. 1989. The effects of sedimentation on Indo-Pacific Reef Corals. Dis</x:v>
      </x:c>
      <x:c r="K140" s="11" t="str">
        <x:v>YES</x:v>
      </x:c>
      <x:c r="L140" s="7" t="str">
        <x:v>PUBLIC_FULL_DOCUMENT_LOCATION</x:v>
      </x:c>
      <x:c r="M140" s="7" t="str">
        <x:v>https://espis.boem.gov/Final%20Reports/2732.pdf</x:v>
      </x:c>
      <x:c r="N140" s="7" t="str">
        <x:v>VERIFIED_DIRECT_DOCUMENT_URL</x:v>
      </x:c>
      <x:c r="O140" s="7" t="str">
        <x:v>B04_TROPICAL_PHYSICAL_SEDIMENT_ANALOGUE</x:v>
      </x:c>
      <x:c r="P140" s="11" t="str">
        <x:v>HIGH</x:v>
      </x:c>
      <x:c r="Q140" s="7" t="str">
        <x:v>Reef corals, likely tropical (supported by reference to Indo-Pacific reef corals in the cited literature).</x:v>
      </x:c>
      <x:c r="R140" s="7" t="str">
        <x:v>Sedimentation, explicitly stated in title as causing damage to reef corals.</x:v>
      </x:c>
      <x:c r="S140" s="7" t="str">
        <x:v>Damage to reef corals, indicating a biological/ecological impact.</x:v>
      </x:c>
      <x:c r="T140" s="7" t="str">
        <x:v>Title directly addresses sedimentation damage to reef corals, and the cited literature includes a known study on sedimentation effects on Indo-Pacific reef corals. This qualifies as a tropical physical sediment analogue study/report meeting B04.</x:v>
      </x:c>
      <x:c r="U140" s="7" t="str">
        <x:v>The title unequivocally indicates a study or report on sedimentation damage to reef corals. The included reference to Hodgson (1989) on the effects of sedimentation on Indo-Pacific reef corals confirms the target organism and stressor. As a BOEM report, it is a substantive document. This meets B04 (tropical physical sediment analogue) because the focus is on physical sediment exposure and biological response in reef corals. The absence of a full abstract is not limiting given the explicit title and supporting citation. The closest alternative would be exclusion for missing information, but the available evidence is sufficient for inclusion.</x:v>
      </x:c>
      <x:c r="V140" s="7" t="str">
        <x:v>SPARING_TOP_25_TROPICAL_DIRECT_PHYSICAL_ANALOGUES</x:v>
      </x:c>
      <x:c r="W140" s="7" t="str">
        <x:v>TBV1-0416</x:v>
      </x:c>
    </x:row>
    <x:row r="141" ht="42" customHeight="1">
      <x:c r="A141" s="14" t="str">
        <x:v>B</x:v>
      </x:c>
      <x:c r="B141" s="7" t="str">
        <x:v>CWC-3FE883F1D2AB</x:v>
      </x:c>
      <x:c r="C141" s="7" t="str">
        <x:v>Sensitivity of Corals to Turbidity and Sedimentation from Dredging: A Review</x:v>
      </x:c>
      <x:c r="D141" s="7" t="str">
        <x:v>P.L.A. Erftemeijer | Bernhard Riegl</x:v>
      </x:c>
      <x:c r="E141" s="11" t="str">
        <x:v>2008</x:v>
      </x:c>
      <x:c r="F141" s="7" t="str">
        <x:v>NSUWorks (Nova Southeastern University)</x:v>
      </x:c>
      <x:c r="G141" s="7" t="str">
        <x:v>conference-paper</x:v>
      </x:c>
      <x:c r="H141" s="7" t="str"/>
      <x:c r="I141" s="7" t="str">
        <x:v>https://nsuworks.nova.edu/occ_facpresentations/99</x:v>
      </x:c>
      <x:c r="J141" s="7" t="str">
        <x:v>A review of published literature on sensitivity of corals to turbidity and sedimentation is presented with an emphasis on effects of dredging. Risks and severity of impact from dredging on corals are related to both intensity and duration of exposure to increased turbidity and sedimentation. Sensitivity of a coral reef from dredging impacts and its ability to recover depends on the ecological condition of the reef, its resilience and typical ambient conditions normally experienced. Corals experience stress from high suspended sediment concentrations (polyp) and their effects on light attenuation (algal symbiont). Minimum light requirements of corals range from 300 mg cm-2 day-1. The duration that corals can survive high sedimentation rates range from 14 days (complete burial) for very tolerant species. Hypotheses to explain substantial differences in sensitivity between different coral species include the growth form and orientation of coral colonies, the ability to actively reject sediment (polyp inflation, mucus production, ciliary and tentacular action) and the size of the coral polyp/calice. Validity of these hypotheses was tested on the basis of 53 published studies on effects of turbidity and sedimentation on 85 coral species, the results of which will be presented.</x:v>
      </x:c>
      <x:c r="K141" s="11" t="str">
        <x:v>YES</x:v>
      </x:c>
      <x:c r="L141" s="7" t="str">
        <x:v>FROZEN_PUBLIC_FULL_TEXT_LOCATION</x:v>
      </x:c>
      <x:c r="M141" s="7" t="str">
        <x:v>https://nsuworks.nova.edu/occ_facpresentations/99</x:v>
      </x:c>
      <x:c r="N141" s="7" t="str">
        <x:v>VERIFIED_BIBLIOGRAPHIC_DOCUMENT</x:v>
      </x:c>
      <x:c r="O141" s="7" t="str">
        <x:v>B05_BROAD_SYNTHESIS_WITH_TARGET_EVIDENCE</x:v>
      </x:c>
      <x:c r="P141" s="11" t="str">
        <x:v>HIGH</x:v>
      </x:c>
      <x:c r="Q141" s="7" t="str">
        <x:v>Corals (reef-building corals, likely tropical reef corals)</x:v>
      </x:c>
      <x:c r="R141" s="7" t="str">
        <x:v>Turbidity and sedimentation from dredging; suspended sediment concentrations; sedimentation rates; burial</x:v>
      </x:c>
      <x:c r="S141" s="7" t="str">
        <x:v>Stress, smothering, shading, tissue necrosis, bacterial explosions in mucus, reduced recruitment/survival/settlement, tolerance limits, recovery potential</x:v>
      </x:c>
      <x:c r="T141" s="7" t="str">
        <x:v>This is a review synthesizing published evidence on coral sensitivity to turbidity and sedimentation from dredging. It provides quantitative thresholds (suspended sediment concentrations, allowable sedimentation rates, burial survival durations) and describes multiple biological responses. It qualifies under B05 as a synthesis with clear coral target evidence relevant to the review.</x:v>
      </x:c>
      <x:c r="U141" s="7" t="str">
        <x:v>The record is a substantive conference paper reviewing effects of dredging-related turbidity and sedimentation on corals. It explicitly reports biological responses (stress, smothering, necrosis, larval effects) and tolerance thresholds, which is directly relevant. Although it likely focuses on tropical corals, the review itself is a synthesis of coral sediment evidence, fitting B05. It is not a deep/cold review (B02) or an experimental study (B04). The organism and stressor are clearly coral and sediment, so it is not excluded.</x:v>
      </x:c>
      <x:c r="V141" s="7" t="str">
        <x:v>ALL_VERIFIED_NON_TROPICAL_TIER_B_INCLUSIONS</x:v>
      </x:c>
      <x:c r="W141" s="7" t="str">
        <x:v>TBV1-1334</x:v>
      </x:c>
    </x:row>
    <x:row r="142" ht="42" customHeight="1">
      <x:c r="A142" s="14" t="str">
        <x:v>B</x:v>
      </x:c>
      <x:c r="B142" s="7" t="str">
        <x:v>CWC-17BB509A22EF</x:v>
      </x:c>
      <x:c r="C142" s="7" t="str">
        <x:v>SERPENT of the Deep—Research, Monitoring and Partnerships for a Deepwater Well off Atlantic Canada</x:v>
      </x:c>
      <x:c r="D142" s="7" t="str">
        <x:v>Andre d'Entremont | J. I. Kaariainen | Krista D. Baker</x:v>
      </x:c>
      <x:c r="E142" s="11" t="str">
        <x:v>2008</x:v>
      </x:c>
      <x:c r="F142" s="7" t="str">
        <x:v>SPE International Conference on Health, Safety and Environment in Oil and Gas Exploration and Production</x:v>
      </x:c>
      <x:c r="G142" s="7" t="str">
        <x:v>conference-paper</x:v>
      </x:c>
      <x:c r="H142" s="7" t="str">
        <x:v>10.2118/111789-ms</x:v>
      </x:c>
      <x:c r="I142" s="7" t="str">
        <x:v>https://doi.org/10.2118/111789-ms</x:v>
      </x:c>
      <x:c r="J142" s="7" t="str">
        <x:v>Abstract The Great Barasway F-66 well – operated by Chevron Canada Limited (CCL) on behalf of itself and co-venturers ExxonMobil Canada Ltd., Imperial Oil Resource Ventures Ltd. and Shell Canada Limited – was the first Canadian participation in the international SERPENT Project. It was drilled in the Orphan Basin, a remote deepwater area located 390 km offshore of St. John's, Newfoundland and Labrador, Canada. SERPENT utilizes Remotely Operated Vehicles (ROVs), which support deepwater drilling operations, to collect scientific data which would be prohibitively expensive or impractical for universities or research institutions to collect. The project was a cooperative effort between CCL, ExxonMobil Canada Ltd., Imperial Oil Resource Ventures Ltd., Shell Canada Limited, and Memorial University of Newfoundland (MUN), the University of Southampton, the Canadian Department of Fisheries and Oceans and the Canada-Newfoundland and Labrador Offshore Petroleum Board. This has been an open and transparent relationship whereby all parties were involved in the study design, and data collected was freely shared. Initial results have included 1,000 world class digital photographs and over 25 hours of video of the organisms that live in water depths of 2,338 m. Initial results have been scientifically exciting; expanding the range of two species of fish, there is also the prospect that a new species of deepwater organism could be discovered once the data are fully analyzed. The extent of the settlement of cuttings and drilling muds was also mapped and compared to predictions made in the environmental assessment. Experiments were also conducted to evaluate the potential settlement of deepwater corals and other organisms on different types of hard substrate.</x:v>
      </x:c>
      <x:c r="K142" s="11" t="str">
        <x:v>NO</x:v>
      </x:c>
      <x:c r="L142" s="7" t="str">
        <x:v>NOT_CONFIRMED</x:v>
      </x:c>
      <x:c r="M142" s="7" t="str"/>
      <x:c r="N142" s="7" t="str">
        <x:v>VERIFIED_DOI_DOCUMENT</x:v>
      </x:c>
      <x:c r="O142" s="7" t="str">
        <x:v>B01_DEEP_COLD_SEDIMENT_EVIDENCE</x:v>
      </x:c>
      <x:c r="P142" s="11" t="str">
        <x:v>HIGH</x:v>
      </x:c>
      <x:c r="Q142" s="7" t="str">
        <x:v>Deepwater organisms at 2338 m, including deepwater corals; also fish and possibly a new species.</x:v>
      </x:c>
      <x:c r="R142" s="7" t="str">
        <x:v>Settlement of cuttings and drilling muds from a deepwater well; extent mapped and compared to environmental assessment predictions.</x:v>
      </x:c>
      <x:c r="S142" s="7" t="str">
        <x:v>Monitoring of cuttings/mud settlement; experiments to evaluate potential settlement of deepwater corals and other organisms on different hard substrates.</x:v>
      </x:c>
      <x:c r="T142" s="7" t="str">
        <x:v>Direct deep-sea coral evidence related to drilling-derived sediment (cuttings/muds) with monitoring and experimental assessment of settlement.</x:v>
      </x:c>
      <x:c r="U142" s="7" t="str">
        <x:v>This conference paper describes deepwater monitoring and experiments in the Orphan Basin. It explicitly mentions deepwater corals and other organisms at 2338 m depth, and evaluates the settlement of cuttings and drilling muds, comparing to environmental assessment predictions. It also describes experiments on potential settlement of deepwater corals on hard substrates. This provides deep-sea coral evidence with a sediment/drilling-mud pathway and biological/assessment response, meeting B01. The closest alternative would be B02, but it is not a review or assessment per se; it is a primary monitoring/experimental report, so B01 is more precise.</x:v>
      </x:c>
      <x:c r="V142" s="7" t="str">
        <x:v>ALL_VERIFIED_NON_TROPICAL_TIER_B_INCLUSIONS</x:v>
      </x:c>
      <x:c r="W142" s="7" t="str">
        <x:v>TBV1-0109</x:v>
      </x:c>
    </x:row>
    <x:row r="143" ht="42" customHeight="1">
      <x:c r="A143" s="14" t="str">
        <x:v>B</x:v>
      </x:c>
      <x:c r="B143" s="7" t="str">
        <x:v>CWC-5F21ED07EDF5</x:v>
      </x:c>
      <x:c r="C143" s="7" t="str">
        <x:v>Short-term environmental variability in cold-water coral habitat at Viosca Knoll, Gulf of Mexico</x:v>
      </x:c>
      <x:c r="D143" s="7" t="str">
        <x:v>Davies, AJ | Duineveld, GCA | van Weering, TCE | Mienis, F | Quattrini, AM | Seim, HE | Bane, JM | Ross, SW</x:v>
      </x:c>
      <x:c r="E143" s="11" t="str">
        <x:v>2010</x:v>
      </x:c>
      <x:c r="F143" s="7" t="str">
        <x:v>DEEP-SEA RESEARCH PART I-OCEANOGRAPHIC RESEARCH PAPERS</x:v>
      </x:c>
      <x:c r="G143" s="7" t="str">
        <x:v>JOUR</x:v>
      </x:c>
      <x:c r="H143" s="7" t="str">
        <x:v>10.1016/j.dsr.2009.10.012</x:v>
      </x:c>
      <x:c r="I143" s="7" t="str">
        <x:v>https://doi.org/10.1016/j.dsr.2009.10.012</x:v>
      </x:c>
      <x:c r="J143" s="7" t="str">
        <x:v>The Lophelia pertusa community at Viosca Knoll (VK826) is the most extensive found to date in the Gulf of Mexico. As part of a multi-disciplinary study, the physical setting of this area was described using benthic landers, CTD transects and remotely operated vehicle observations. The site was broadly characterised into three main habitats: (1) dense coral cover that resembles biogenic reef complexes, (2) areas of sediment, and (3) authigenic carbonate blocks with sparse coral and chemosynthetic communities. The coral communities were dominated by L. pertusa but also contained numerous solitary coral species. Over areas that contained L. pertusa, the environmental conditions recorded were similar to those associated with communities in the north-eastern Atlantic, with temperature (8.5-10.6 degrees C) and salinity (similar to 35) failing within the known species niche for L. pertusa. However, dissolved oxygen concentrations (2.7-2.8 ml l(-1))and density (sigma(Theta), 27.1-27.2 kg m(-3)) were lower and Mass fluxes from sediment trap data appeared much higher (4002-4192 mg m(-2) d(-1)). Yet, this species still appears to thrive in this region, suggesting that L. pertusa may not be as limited by lower dissolved oxygen concentrations as previously thought. The VK826 site experienced sustained eastward water flow of 10-30 cm s(-1) over the 5-day measurement period but was also subjected to significant short-term variability in current velocity and direction. In addition, two processes were observed that caused variability in salinity and temperature; the first was consistent with internal waves that caused temperature variations of 0.8 degrees C over 5-11 h periods. The second was high-frequency variability (20-30 min periods) in temperature recorded only at the ALBEX site. A further pattern observed over the coral habitat was the presence of a 24 h diel vertical migration of zooplankton that may form part of a food chain that eventually reaches the corals. The majority of detailed studies concerning local environmental conditions in L. pertusa habitats have been conducted within the north-eastern Atlantic, limiting most knowledge of the niche of this species to a single part of an ocean basin. Data presented here show that the corals at VK826 are subjected to similar conditions in temperature, salinity, and flow velocity as their counterparts in the north-east Atlantic, although values for dissolved oxygen and density (sigma-theta: sigma(Theta)) are different. Our data also highlight novel observations of short-term environmental variability in cold-water coral habitat. (C) 2009 Elsevier Ltd. All rights reserved.</x:v>
      </x:c>
      <x:c r="K143" s="11" t="str">
        <x:v>NO</x:v>
      </x:c>
      <x:c r="L143" s="7" t="str">
        <x:v>NOT_CONFIRMED</x:v>
      </x:c>
      <x:c r="M143" s="7" t="str"/>
      <x:c r="N143" s="7" t="str">
        <x:v>VERIFIED_DOI_DOCUMENT</x:v>
      </x:c>
      <x:c r="O143" s="7" t="str">
        <x:v>B01_DEEP_COLD_SEDIMENT_EVIDENCE</x:v>
      </x:c>
      <x:c r="P143" s="11" t="str">
        <x:v>MEDIUM</x:v>
      </x:c>
      <x:c r="Q143" s="7" t="str">
        <x:v>Cold-water coral Lophelia pertusa and associated solitary coral species at Viosca Knoll (VK826), Gulf of Mexico.</x:v>
      </x:c>
      <x:c r="R143" s="7" t="str">
        <x:v>Sediment trap mass fluxes (4002–4192 mg m⁻² d⁻¹) as a measure of sedimentation/particle flux, along with currents, temperature, salinity, and dissolved oxygen conditions.</x:v>
      </x:c>
      <x:c r="S143" s="7" t="str">
        <x:v>Coral communities appear to thrive despite high mass fluxes and lower dissolved oxygen; habitat characterized by dense coral cover versus sediment areas, providing ecological condition and environmental context.</x:v>
      </x:c>
      <x:c r="T143" s="7" t="str">
        <x:v>Deep-sea cold-water coral habitat with explicit sediment flux measurements and ecological condition observations; qualifies as B01 deep/cold sediment evidence.</x:v>
      </x:c>
      <x:c r="U143" s="7" t="str">
        <x:v>The abstract directly characterizes a cold-water coral habitat using sediment trap mass flux data as an environmental variable. It reports that Lophelia pertusa continues to thrive under these conditions, providing ecological condition evidence tied to a sediment/deposition pathway. This fits B01 because it supplies deep/cold coral sediment exposure context and biological/ecological evidence, even though it is not a controlled exposure experiment. The closest alternative would be exclusion as a purely physical oceanography study, but the explicit coral condition statement and sediment flux measurements make inclusion appropriate.</x:v>
      </x:c>
      <x:c r="V143" s="7" t="str">
        <x:v>ALL_VERIFIED_NON_TROPICAL_TIER_B_INCLUSIONS</x:v>
      </x:c>
      <x:c r="W143" s="7" t="str">
        <x:v>TBV1-0110</x:v>
      </x:c>
    </x:row>
    <x:row r="144" ht="42" customHeight="1">
      <x:c r="A144" s="14" t="str">
        <x:v>B</x:v>
      </x:c>
      <x:c r="B144" s="7" t="str">
        <x:v>CWC-19F713252CB7</x:v>
      </x:c>
      <x:c r="C144" s="7" t="str">
        <x:v>Simulation Of Concentrations and Depositions of Particle Matter Caused by Drilling Discharges. Comparison Between Field Measurements and Simulation Results at Coral Locations</x:v>
      </x:c>
      <x:c r="D144" s="7" t="str">
        <x:v>Henrik Rye | May Kristin Ditlevsen | Jannecke A. Moe | Morten Løkken</x:v>
      </x:c>
      <x:c r="E144" s="11" t="str">
        <x:v>2012</x:v>
      </x:c>
      <x:c r="F144" s="7" t="str"/>
      <x:c r="G144" s="7" t="str">
        <x:v>conference-paper</x:v>
      </x:c>
      <x:c r="H144" s="7" t="str">
        <x:v>10.2118/156775-ms</x:v>
      </x:c>
      <x:c r="I144" s="7" t="str">
        <x:v>https://doi.org/10.2118/156775-ms</x:v>
      </x:c>
      <x:c r="J144" s="7" t="str">
        <x:v>Abstract Deepwater corals (Lophelia) was identified in the vicinity of the location of the exploration well Pumbaa on the Norwegian Continental Shelf where a drilling operation was carried out by the GDF SUEZ E&amp;P Norge AS (GDF SUEZ). When drilling in sensitive areas, it is a requirement from the Norwegian authorities that the operator shall monitor the drilling operation. Possible impacts on the corals were simulated prior to the drilling operation. In addition, monitoring of the discharges during drilling was carried out in order to document effects on the corals. The paper considers a comparison between measured and simulated discharges of drill cuttings and mud to the sea on the Pumbaa field in the Norwegian Sea. The actual monitoring program is presented in a separate paper on this conference (Moskeland et al. 2012). The main objective of the monitoring was to assess effects from the drilling activities on the corals south (and nearest) of the drilling location. The monitoring program included measurements of current, turbidity and sedimentation, as well as sampling of sediments from the seafloor. The data collected in the monitoring program turned out to be useful as well to validate numerical models for simulations of the discharges. In the present case, corals are located close to the drilling site, and the simulation tool could then be validated for prediction of potential exposure of the corals. The actual comparison between model simulations and measurements is carried out by comparing the actual depositions of barite on the sea floor. In addition, turbidity recordings close to the sea floor are compared with simulated concentrations of particle matter at the locations of the turbidity recordings. Good correspondence is obtained between model results and measurements on the occurrence of events of particle matter present in the water column at selected locations. A good similarity is found between measured/simulated depositions of barite at the sea floor, and measured/simulated concentrations of particle matter in the water column. Use of the model validated will strengthen the operator's ability to predict exposure (and consequently potential damage) on corals (and other biological resources) prior to the drilling operation. The operator may then obtain an "early warning" on exposure (potential damage). Measures can then be initiated to eliminate or reduce environmental impact.</x:v>
      </x:c>
      <x:c r="K144" s="11" t="str">
        <x:v>NO</x:v>
      </x:c>
      <x:c r="L144" s="7" t="str">
        <x:v>NOT_CONFIRMED</x:v>
      </x:c>
      <x:c r="M144" s="7" t="str"/>
      <x:c r="N144" s="7" t="str">
        <x:v>VERIFIED_DOI_DOCUMENT</x:v>
      </x:c>
      <x:c r="O144" s="7" t="str">
        <x:v>B01_DEEP_COLD_SEDIMENT_EVIDENCE</x:v>
      </x:c>
      <x:c r="P144" s="11" t="str">
        <x:v>HIGH</x:v>
      </x:c>
      <x:c r="Q144" s="7" t="str">
        <x:v>Deepwater corals (Lophelia) located near a drilling site on the Norwegian Continental Shelf.</x:v>
      </x:c>
      <x:c r="R144" s="7" t="str">
        <x:v>Drilling discharges including drill cuttings and mud, barite deposition on the seafloor, turbidity and suspended particle matter in the water column.</x:v>
      </x:c>
      <x:c r="S144" s="7" t="str">
        <x:v>Comparison of measured and simulated concentrations and depositions; monitoring of turbidity and sedimentation; prediction of exposure and potential damage to corals; validation of numerical models for environmental impact assessment.</x:v>
      </x:c>
      <x:c r="T144" s="7" t="str">
        <x:v>This conference paper is a deep-sea cold-water coral (Lophelia) source with explicit sediment/drilling pathway and monitoring/impact assessment evidence. It compares field measurements with simulations of particle matter and barite deposition at coral locations, providing indirect but relevant evidence on potential exposure and impact.</x:v>
      </x:c>
      <x:c r="U144" s="7" t="str">
        <x:v>This record documents a modeling and field monitoring study of drilling discharges at a deepwater coral (Lophelia) site. The explicit sediment pathway (drill cuttings, mud, barite, turbidity) and the focus on assessing potential coral impact fit B01. It is preferable to B02 because it directly presents site-specific evidence rather than being a review or regulatory report. It is not excluded because it contains monitoring and impact evidence for corals, unlike pure physical plume modeling studies. The document is substantive with DOI.</x:v>
      </x:c>
      <x:c r="V144" s="7" t="str">
        <x:v>ALL_VERIFIED_NON_TROPICAL_TIER_B_INCLUSIONS</x:v>
      </x:c>
      <x:c r="W144" s="7" t="str">
        <x:v>TBV1-0046</x:v>
      </x:c>
    </x:row>
    <x:row r="145" ht="42" customHeight="1">
      <x:c r="A145" s="14" t="str">
        <x:v>B</x:v>
      </x:c>
      <x:c r="B145" s="7" t="str">
        <x:v>CWC-6F573FDCA39E</x:v>
      </x:c>
      <x:c r="C145" s="7" t="str">
        <x:v>Spatial differences in the growth rates of Pocillopora damicornis associated with sedimentation rate and light intensity at Polhena patchy reef, southern Sri Lanka</x:v>
      </x:c>
      <x:c r="D145" s="7" t="str">
        <x:v>WAA Upasantha Kumara | PBT Pradeep Kumara | P.R.T. Cumaranatunga</x:v>
      </x:c>
      <x:c r="E145" s="11" t="str">
        <x:v>2015</x:v>
      </x:c>
      <x:c r="F145" s="7" t="str">
        <x:v>Sri Lanka Journal of Aquatic Sciences</x:v>
      </x:c>
      <x:c r="G145" s="7" t="str">
        <x:v>article</x:v>
      </x:c>
      <x:c r="H145" s="7" t="str">
        <x:v>10.4038/sljas.v20i1.7455</x:v>
      </x:c>
      <x:c r="I145" s="7" t="str">
        <x:v>https://doi.org/10.4038/sljas.v20i1.7455</x:v>
      </x:c>
      <x:c r="J145" s="7" t="str">
        <x:v>Near shore patchy reef located at the leeward side of the fringing reef at Polhena was surveyed to evaluate spatial patterns of growth rates of Pocillopora damicornis . This study was carried out at three locations of the reef; front, side and back from June to November in 2004. Three sites were selected from each location considering the depth (surface, middle, and bottom). Forty five colonies of P. damicornis which were approximately of the same size were studied. Temperature, dissolved oxygen, BOD5, salinity, pH, soluble reactive phosphorous, turbidity and light intensity of each site were measured fortnightly and their mean values were 28.06 ± 0.24 °C, 8.78 ± 0.15 mg L -1 , 1.40 ± 0.32 mg L -1 , 31.91 ± 3.49 mg L -1 , 8.12 ± 0.04, 8.12 ± 0.01, 20.21 ± 2.05 μg L -1 , 5.78 ± 1.20 NTU, and 49.17 ± 1.97 Lux respectively. Sediments in each site were collected using traps and mean overall sedimentation rate for the experimental period was 45860.6 ± 3364.2 ml m -2 day -1 (2620.6 ± 192.2 g m -2 day -1 ) (n = 36). Growth of coral colonies, which was measured as linear skeletal extension rate (LSER), was 0.15 ± 0.01 mm day -1 . Significant differences in mean light intensity, mean sediment volume, and LSER of coral colonies were observed among different sites. The highest sedimentation rate 94818.2 ± 6981.5 ml m -2 day -1 (5418.2 ± 398.9 g m -2 day -1 ) and the lowest LSER of the colonies (0.05 ± 0.01 mm day -1 ) were observed at back bottom site. The highest LSER was observed at front surface (0.23 ± 0.01 mm day -1 ). LSER showed a significant negative correlation (R 2 = 0.59) with increased sedimentation rate and low light intensity. Back bottom site of the patchy reef was having comparatively unfavorable conditions for the growth of corals that were subjected to more environmental stress than the corals in other sites of the reefs. Sri Lanka J. Aquat. Sci. 20 (1) (2015): 47-58</x:v>
      </x:c>
      <x:c r="K145" s="11" t="str">
        <x:v>YES</x:v>
      </x:c>
      <x:c r="L145" s="7" t="str">
        <x:v>FROZEN_PUBLIC_FULL_TEXT_LOCATION</x:v>
      </x:c>
      <x:c r="M145" s="7" t="str">
        <x:v>https://storage.googleapis.com/jnl-sljo-j-sljas-files/journals/1/articles/7455/submission/proof/7455-1-26405-1-10-20150325.pdf</x:v>
      </x:c>
      <x:c r="N145" s="7" t="str">
        <x:v>VERIFIED_DOI_DOCUMENT</x:v>
      </x:c>
      <x:c r="O145" s="7" t="str">
        <x:v>B04_TROPICAL_PHYSICAL_SEDIMENT_ANALOGUE</x:v>
      </x:c>
      <x:c r="P145" s="11" t="str">
        <x:v>HIGH</x:v>
      </x:c>
      <x:c r="Q145" s="7" t="str">
        <x:v>Tropical reef-building coral Pocillopora damicornis; colonies monitored at multiple reef locations.</x:v>
      </x:c>
      <x:c r="R145" s="7" t="str">
        <x:v>Sedimentation rate measured with sediment traps; also turbidity and light intensity quantified; highest sedimentation at back bottom site.</x:v>
      </x:c>
      <x:c r="S145" s="7" t="str">
        <x:v>Linear skeletal extension rate (LSER) as growth response; significantly lower LSER at high-sedimentation site and significant negative correlation with sedimentation and low light.</x:v>
      </x:c>
      <x:c r="T145" s="7" t="str">
        <x:v>Direct field study measuring physical sediment exposure and reporting a biological response (growth) for a tropical coral, fitting B04.</x:v>
      </x:c>
      <x:c r="U145" s="7" t="str">
        <x:v>This record is a peer-reviewed article presenting a direct field assessment of sedimentation effects on the tropical coral Pocillopora damicornis. Sedimentation was quantitatively measured with sediment traps, and coral growth (LSER) was monitored across sites with varying sedimentation and light. The study reports a significant negative correlation between increased sedimentation and growth, with the highest sedimentation site showing the lowest LSER. This meets the B04 tropical physical sediment analogue criterion because it directly tests sediment exposure and reports a clearly relevant biological response. It is not merely a mention of sediment or turbidity. Preferred over CHAIN_ONLY because substantive coral sediment-effects evidence is present; preferred over B01/B02 because the study is tropical and empirical rather than a deep/cold review.</x:v>
      </x:c>
      <x:c r="V145" s="7" t="str">
        <x:v>SPARING_TOP_25_TROPICAL_DIRECT_PHYSICAL_ANALOGUES</x:v>
      </x:c>
      <x:c r="W145" s="7" t="str">
        <x:v>TBV1-1208</x:v>
      </x:c>
    </x:row>
    <x:row r="146" ht="42" customHeight="1">
      <x:c r="A146" s="14" t="str">
        <x:v>B</x:v>
      </x:c>
      <x:c r="B146" s="7" t="str">
        <x:v>CWC-439450CFEF39</x:v>
      </x:c>
      <x:c r="C146" s="7" t="str">
        <x:v>Sponge and coral communities of potential mineral resources in the deep-sea: An overview</x:v>
      </x:c>
      <x:c r="D146" s="7" t="str">
        <x:v>Tina N. Molodtsova | Christopher Kelley | Lénàïck Menot | Les Watling</x:v>
      </x:c>
      <x:c r="E146" s="11" t="str">
        <x:v>2018</x:v>
      </x:c>
      <x:c r="F146" s="7" t="str"/>
      <x:c r="G146" s="7" t="str">
        <x:v>preprint</x:v>
      </x:c>
      <x:c r="H146" s="7" t="str">
        <x:v>10.7287/peerj.preprints.26551</x:v>
      </x:c>
      <x:c r="I146" s="7" t="str">
        <x:v>https://doi.org/10.7287/peerj.preprints.26551</x:v>
      </x:c>
      <x:c r="J146" s="7" t="str">
        <x:v>Depletion of commercially valuable minerals on land and increased need of such resources for modern electronics and manufacturing is attracting more and more attention to deep-sea mineral deposits such as cobalt crusts, manganese nodules, phosphorites, polymetallic sulfides and even deep-sea ooze. In a few years we expect intensive exploitation in the deep-sea. Being suspension feeders, corals and sponges associated with hard substrata in potential mining sites would be adversely impacted by deep-sea mining. Deep-sea corals and sponges are characterized by extremely slow growth rates and, as can be seen from fishery impacts, they may take decades to centuries to restore. At the same time, they serve as a substrate, shelter and food for a number of associated deep-sea organisms, thus increasing the cumulative impact of their loss. We summarize here the available data on coral and sponge communities of solid deep-sea ore deposits and possible mechanisms driving their diversity.</x:v>
      </x:c>
      <x:c r="K146" s="11" t="str">
        <x:v>NO</x:v>
      </x:c>
      <x:c r="L146" s="7" t="str">
        <x:v>NOT_CONFIRMED</x:v>
      </x:c>
      <x:c r="M146" s="7" t="str"/>
      <x:c r="N146" s="7" t="str">
        <x:v>VERIFIED_DOI_DOCUMENT</x:v>
      </x:c>
      <x:c r="O146" s="7" t="str">
        <x:v>B02_DEEP_COLD_REVIEW_ASSESSMENT</x:v>
      </x:c>
      <x:c r="P146" s="11" t="str">
        <x:v>HIGH</x:v>
      </x:c>
      <x:c r="Q146" s="7" t="str">
        <x:v>Deep-sea corals and sponges associated with hard substrata in potential mining sites (cobalt crusts, manganese nodules, phosphorites, polymetallic sulfides)</x:v>
      </x:c>
      <x:c r="R146" s="7" t="str">
        <x:v>Deep-sea mining activities, including sediment disturbance, plumes, and physical disruption of benthic habitats</x:v>
      </x:c>
      <x:c r="S146" s="7" t="str">
        <x:v>Overview of adverse impacts on suspension feeders, extremely slow growth rates, potential for decades-to-centuries recovery, and cascading loss of associated species</x:v>
      </x:c>
      <x:c r="T146" s="7" t="str">
        <x:v>Substantive review/assessment (preprint) with direct focus on deep-sea mining impacts on coral and sponge communities, meeting B02 as a deep/cold coral/sponge review with sediment-impact relevance</x:v>
      </x:c>
      <x:c r="U146" s="7" t="str">
        <x:v>The document is a substantive overview of deep-sea coral and sponge communities in mineral resource areas, explicitly linking deep-sea mining to adverse impacts on these suspension feeders. It addresses sediment-related mining pathways (disturbance, plumes) indirectly but clearly, and provides assessment value regarding growth, recovery, and habitat loss. This qualifies as a deep/cold review or assessment under B02. It is not merely a physical or distribution study; it directly addresses biological and ecological consequences. The preprint nature does not affect eligibility. Closest alternative B01 is possible but B02 is more apt given its review/assessment character. Exclude is not warranted because the sediment/mining impact focal content is explicit.</x:v>
      </x:c>
      <x:c r="V146" s="7" t="str">
        <x:v>ALL_VERIFIED_NON_TROPICAL_TIER_B_INCLUSIONS</x:v>
      </x:c>
      <x:c r="W146" s="7" t="str">
        <x:v>TBV1-0062</x:v>
      </x:c>
    </x:row>
    <x:row r="147" ht="42" customHeight="1">
      <x:c r="A147" s="14" t="str">
        <x:v>B</x:v>
      </x:c>
      <x:c r="B147" s="7" t="str">
        <x:v>CWC-43059A5562DB</x:v>
      </x:c>
      <x:c r="C147" s="7" t="str">
        <x:v>Sponge reefs on the Northeast Pacific margin: geomorphic and biological variability</x:v>
      </x:c>
      <x:c r="D147" s="7" t="str">
        <x:v>Kim W. Conway | Anya Dunham | Lily Burke | Stephanie K. Archer | J. Shaw | R Kung</x:v>
      </x:c>
      <x:c r="E147" s="11" t="str">
        <x:v>2019</x:v>
      </x:c>
      <x:c r="F147" s="7" t="str">
        <x:v>Elsevier eBooks</x:v>
      </x:c>
      <x:c r="G147" s="7" t="str">
        <x:v>book-chapter</x:v>
      </x:c>
      <x:c r="H147" s="7" t="str">
        <x:v>10.1016/b978-0-12-814960-7.00017-8</x:v>
      </x:c>
      <x:c r="I147" s="7" t="str">
        <x:v>https://doi.org/10.1016/b978-0-12-814960-7.00017-8</x:v>
      </x:c>
      <x:c r="J147" s="7" t="str">
        <x:v>Abstract Hexactinellid sponges form extensive reefs in coastal and shelf waters of the northwestern margin of North America. The framework-constructed reefs are unique to this region, and create a diverse array of reef structures in water depths of 20–240 m. The reefs develop morphologies on a continuum ranging from thin-bedded biostromal reefs to steep sided bioherms and ridges &gt;20 m in height. The diverse morphologic types likely result from local variations of the seafloor tidal current regime and suspended sediment delivery as well as the ecologic development of the reef controlled by the characteristics of the benthic community dominated by reef-forming sponges. Measured ecological parameters in the various reef forms indicate differences in sponge cover in morphologic end members. Some reef morphologies, such as ridges, have large areas that support sponge growth, while in waveform morphologies the most favorable sponge growing situations are on the top and slope of the waveforms. Biostromal reefs possess gradients of most suitable reef growing habitat where patchiness results in significantly different densities of sponges on the reef surface.</x:v>
      </x:c>
      <x:c r="K147" s="11" t="str">
        <x:v>NO</x:v>
      </x:c>
      <x:c r="L147" s="7" t="str">
        <x:v>NOT_CONFIRMED</x:v>
      </x:c>
      <x:c r="M147" s="7" t="str"/>
      <x:c r="N147" s="7" t="str">
        <x:v>VERIFIED_DOI_DOCUMENT</x:v>
      </x:c>
      <x:c r="O147" s="7" t="str">
        <x:v>B01_DEEP_COLD_SEDIMENT_EVIDENCE</x:v>
      </x:c>
      <x:c r="P147" s="11" t="str">
        <x:v>HIGH</x:v>
      </x:c>
      <x:c r="Q147" s="7" t="str">
        <x:v>Cold-water hexactinellid sponges forming reefs in 20-240 m depths on the Northeast Pacific margin.</x:v>
      </x:c>
      <x:c r="R147" s="7" t="str">
        <x:v>Suspended sediment delivery and tidal current regime, implicated in reef morphological variability.</x:v>
      </x:c>
      <x:c r="S147" s="7" t="str">
        <x:v>Sponge cover and density differ among reef morphologies (biostromes, bioherms, ridges, waveforms), indicating ecological response to sediment-linked habitat gradients.</x:v>
      </x:c>
      <x:c r="T147" s="7" t="str">
        <x:v>Direct cold-water sponge sediment-pathway evidence with biological/ecological response measures (sponge cover/density).</x:v>
      </x:c>
      <x:c r="U147" s="7" t="str">
        <x:v>This book chapter examines hexactinellid sponge reefs on the Northeast Pacific margin, explicitly linking suspended sediment delivery and tidal regimes to reef morphology and measured ecological parameters such as sponge cover and density. This provides biological/ecological evidence for a cold-water sponge sediment pathway, meeting Tier B B01. It is preferable to CHAIN_ONLY because the abstract reports measurable sponge responses tied to sediment delivery, not merely references. It is not excluded because sediment is an explicit pathway and sponges are the target organisms.</x:v>
      </x:c>
      <x:c r="V147" s="7" t="str">
        <x:v>ALL_VERIFIED_NON_TROPICAL_TIER_B_INCLUSIONS</x:v>
      </x:c>
      <x:c r="W147" s="7" t="str">
        <x:v>TBV1-0089</x:v>
      </x:c>
    </x:row>
    <x:row r="148" ht="42" customHeight="1">
      <x:c r="A148" s="14" t="str">
        <x:v>B</x:v>
      </x:c>
      <x:c r="B148" s="7" t="str">
        <x:v>CWC-C077CA03EA6C</x:v>
      </x:c>
      <x:c r="C148" s="7" t="str">
        <x:v>Structure and development of Hawaiian deep-water coral communities on Mauna Loa lava flows</x:v>
      </x:c>
      <x:c r="D148" s="7" t="str">
        <x:v>MR Putts | FA Parrish | FA Trusdell | SE Kahng</x:v>
      </x:c>
      <x:c r="E148" s="11" t="str">
        <x:v>2019</x:v>
      </x:c>
      <x:c r="F148" s="7" t="str">
        <x:v>Marine Ecology Progress Series</x:v>
      </x:c>
      <x:c r="G148" s="7" t="str">
        <x:v>article</x:v>
      </x:c>
      <x:c r="H148" s="7" t="str">
        <x:v>10.3354/meps13106</x:v>
      </x:c>
      <x:c r="I148" s="7" t="str">
        <x:v>https://doi.org/10.3354/meps13106</x:v>
      </x:c>
      <x:c r="J148" s="7" t="str">
        <x:v>MEPS Marine Ecology Progress Series Contact the journal Facebook Twitter RSS Mailing List Subscribe to our mailing list via Mailchimp HomeLatest VolumeAbout the JournalEditorsTheme Sections MEPS 630:69-82 (2019) - DOI: https://doi.org/10.3354/meps13106 Structure and development of Hawaiian deep-water coral communities on Mauna Loa lava flows Meagan R. Putts1,*, Frank A. Parrish2, Frank A. Trusdell3, Samuel E. Kahng4 1University of Hawai'i at Manoa, 1000 Pope Road, Honolulu, Hawai'i 96822, USA 2Pacific Islands Fisheries Science Center, NOAA Inouye Regional Center, 1845 Wasp Blvd., Building 176, Honolulu, Hawai'i 96818, USA 3Hawaiian Volcano Observatory, United States Geological Survey, PO Box 1026, Hilo, Hawai'i 96721, USA 4Hawai'i Pacific University, College of Natural Science, 41-202 Kalanianaole Hwy #9 Waimanalo, Hawai'i 96795, USA *Corresponding author: meagan.putts@noaa.gov ABSTRACT: Submarine lava flows on the leeward flank of the Island of Hawai'i, USA, were examined by submersible and remotely operated vehicles to understand the structure and development of deep-water coral communities. Three sites were selected where historically documented lava flows crossed older prehistoric flows, providing 3 pairs of lava substrates of different ages (61/400 yr, 134/2000 yr, 143/2330 yr) to compare and contrast with a nearby older coral community (15000 yr) growing on fossil carbonate. The number of coral taxa, abundance, and colony size increased with substrate age on the 3 historical lava flows and fossil carbonate site, but not on the prehistoric flows. The faster-growing Coralliidae were the dominant taxa forming patches on the peaks of ridged terrain, while the slower-growing Antipatharia and Isididae were less abundant except at the fossil site where the community was dominated by the slowest-growing corals (including Kulamanamana haumeaae). A multivariate analysis of similarity of coral communities on lava flows found site, rather than substrate age, to be a better explanation for why paired flows were ecologically the same despite considerable age differences. The data suggest that hot, turbid, mineral-rich water from the more recent historical lava event re-initialized the community succession of the adjacent prehistoric lava substrate. Coral mortality would be greatest close to the edge of the historical flow with the expectation that survivorship would increase with distance from the impact. The survey transects were too short to detect a significant increase in the total coral community, but an increase was evident for the Coralliidae. KEY WORDS: Deep-sea coral · Cold-water coral · Hawai'i · Community succession · Habitat preference Full text in pdf format PreviousNextCite this article as: Putts MR, Parrish FA, Trusdell FA, Kahng SE (2019) Structure and development of Hawaiian deep-water coral communities on Mauna Loa lava flows. Mar Ecol Prog Ser 630:69-82. https://doi.org/10.3354/meps13106 Export citation RSS - Facebook - Tweet - linkedIn Cited by Published in MEPS Vol. 630. Online publication date: November 07, 2019 Print ISSN: 0171-8630; Online ISSN: 1616-1599 Copyright © 2019 Inter-Research.</x:v>
      </x:c>
      <x:c r="K148" s="11" t="str">
        <x:v>YES</x:v>
      </x:c>
      <x:c r="L148" s="7" t="str">
        <x:v>FROZEN_PUBLIC_FULL_TEXT_LOCATION</x:v>
      </x:c>
      <x:c r="M148" s="7" t="str">
        <x:v>https://www.int-res.com/articles/meps_oa/m630p069.pdf</x:v>
      </x:c>
      <x:c r="N148" s="7" t="str">
        <x:v>VERIFIED_DOI_DOCUMENT</x:v>
      </x:c>
      <x:c r="O148" s="7" t="str">
        <x:v>B01_DEEP_COLD_SEDIMENT_EVIDENCE</x:v>
      </x:c>
      <x:c r="P148" s="11" t="str">
        <x:v>HIGH</x:v>
      </x:c>
      <x:c r="Q148" s="7" t="str">
        <x:v>Deep-water corals (Coralliidae, Antipatharia, Isididae, Kulamanamana haumeaae)</x:v>
      </x:c>
      <x:c r="R148" s="7" t="str">
        <x:v>Turbid, mineral-rich water from historical lava flows; also lava substrate age</x:v>
      </x:c>
      <x:c r="S148" s="7" t="str">
        <x:v>Coral abundance, colony size, taxa richness, community succession; inferred coral mortality near flow edge</x:v>
      </x:c>
      <x:c r="T148" s="7" t="str">
        <x:v>Direct evidence from a deep-sea/cold-water coral community study that explicitly invokes a turbidity pathway from lava events and reports ecological responses, satisfying B01.</x:v>
      </x:c>
      <x:c r="U148" s="7" t="str">
        <x:v>The study examines deep-water coral communities on Hawaiian lava flows. It explicitly states that hot, turbid, mineral-rich water from a historical lava event re-initialized community succession, and predicts coral mortality decreasing with distance from the flow edge. This constitutes a clear turbidity/sediment pathway with ecological response evidence (abundance, composition, succession). The paper is a substantive article (MEPS). It qualifies under B01 because it is a cold-water/deep-sea coral study with an explicit turbidity effect, even though the study is not primarily experimental. Closest alternative would be EXCLUDE on the grounds that turbidity is secondary, but the abstract clearly links turbidity to observed community patterns and mortality, so B01 is appropriate.</x:v>
      </x:c>
      <x:c r="V148" s="7" t="str">
        <x:v>ALL_VERIFIED_CENTRAL_PEER_REVIEWED</x:v>
      </x:c>
      <x:c r="W148" s="7" t="str">
        <x:v>TBV1-1388</x:v>
      </x:c>
    </x:row>
    <x:row r="149" ht="42" customHeight="1">
      <x:c r="A149" s="14" t="str">
        <x:v>B</x:v>
      </x:c>
      <x:c r="B149" s="7" t="str">
        <x:v>GLV4-202A795603B4</x:v>
      </x:c>
      <x:c r="C149" s="7" t="str">
        <x:v>Technical Guidance Environmental impact assessment of marine dredging proposals</x:v>
      </x:c>
      <x:c r="D149" s="7" t="str"/>
      <x:c r="E149" s="11" t="str"/>
      <x:c r="F149" s="7" t="str">
        <x:v>epa.wa.gov.au</x:v>
      </x:c>
      <x:c r="G149" s="7" t="str">
        <x:v>environmental_impact_statement</x:v>
      </x:c>
      <x:c r="H149" s="7" t="str"/>
      <x:c r="I149" s="7" t="str">
        <x:v>https://www.epa.wa.gov.au/sites/default/files/Policies_and_Guidance/Technical_guidance_EIA_of_Marine_Dredging_Proposals.pdf</x:v>
      </x:c>
      <x:c r="J149" s="7" t="str">
        <x:v>of light, suspended and deposited sediment on sponges The guideline values in Table A11 represent lowest observable (sub-lethal) effects levels, but are generally less conservative than the values in Table A10 and can be used to define the outer boundary of the ZOHI. 48 Technical Guidance – Environmental impact assessment of marine dredging proposals Table A11: Possible-effects and probable-effects guideline values to define the outer boundary of the ZOHI for all sponges for use as an EPO and a MT respectively and considering the effects of suspended sediment concentration (SSC), light as a da</x:v>
      </x:c>
      <x:c r="K149" s="11" t="str">
        <x:v>YES</x:v>
      </x:c>
      <x:c r="L149" s="7" t="str">
        <x:v>PUBLIC_FULL_DOCUMENT_LOCATION</x:v>
      </x:c>
      <x:c r="M149" s="7" t="str">
        <x:v>https://www.epa.wa.gov.au/sites/default/files/Policies_and_Guidance/Technical_guidance_EIA_of_Marine_Dredging_Proposals.pdf</x:v>
      </x:c>
      <x:c r="N149" s="7" t="str">
        <x:v>VERIFIED_DIRECT_DOCUMENT_URL</x:v>
      </x:c>
      <x:c r="O149" s="7" t="str">
        <x:v>B02_DEEP_COLD_REVIEW_ASSESSMENT</x:v>
      </x:c>
      <x:c r="P149" s="11" t="str">
        <x:v>HIGH</x:v>
      </x:c>
      <x:c r="Q149" s="7" t="str">
        <x:v>Sponges are explicitly addressed, with guideline values for suspended and deposited sediment effects (all sponges).</x:v>
      </x:c>
      <x:c r="R149" s="7" t="str">
        <x:v>Marine dredging; suspended sediment concentration (SSC), deposited sediment, and associated light reduction.</x:v>
      </x:c>
      <x:c r="S149" s="7" t="str">
        <x:v>Provides possible-effects and probable-effects guideline values for sponges, including lowest observable (sub-lethal) effect levels to define the outer boundary of the ZOHI, with EPO and MT thresholds.</x:v>
      </x:c>
      <x:c r="T149" s="7" t="str">
        <x:v>Government technical guidance from the Western Australia EPA on environmental impact assessment of marine dredging, with a direct sediment-impact focus on sponges and clear potential to inform effects, exposure, thresholds, vulnerability, mitigation, or recovery.</x:v>
      </x:c>
      <x:c r="U149" s="7" t="str">
        <x:v>This technical guidance from the Western Australia EPA is a regulatory assessment document addressing marine dredging effects on sponges. It provides guideline values for suspended and deposited sediment, including SSC and light, and defines possible-effects and probable-effects thresholds for sponges used to define the outer boundary of the ZOHI (EPO and MT). This is substantive government guidance with direct sediment-impact focus and clear potential to inform effects, exposure, thresholds, and mitigation for sponges. The closest alternative would be B05 broad synthesis, but this document is specifically focused on dredging sediment impacts on sponges, not a cross-taxa synthesis; thus B02 is the appropriate Tier B basis.</x:v>
      </x:c>
      <x:c r="V149" s="7" t="str">
        <x:v>ALL_VERIFIED_NON_TROPICAL_TIER_B_INCLUSIONS</x:v>
      </x:c>
      <x:c r="W149" s="7" t="str">
        <x:v>TBV1-0437</x:v>
      </x:c>
    </x:row>
    <x:row r="150" ht="42" customHeight="1">
      <x:c r="A150" s="14" t="str">
        <x:v>B</x:v>
      </x:c>
      <x:c r="B150" s="7" t="str">
        <x:v>CWC-12F1C1B7BD1F</x:v>
      </x:c>
      <x:c r="C150" s="7" t="str">
        <x:v>Tidal Dynamics Control on Cold-Water Coral Growth: A High-Resolution Multivariable Study on Eastern Atlantic Cold-Water Coral Sites</x:v>
      </x:c>
      <x:c r="D150" s="7" t="str">
        <x:v>Katriina Juva | Sascha Flögel | Johannes Karstensen | Петер Линке | Wolf‐Christian Dullo</x:v>
      </x:c>
      <x:c r="E150" s="11" t="str">
        <x:v>2020</x:v>
      </x:c>
      <x:c r="F150" s="7" t="str">
        <x:v>Frontiers in Marine Science</x:v>
      </x:c>
      <x:c r="G150" s="7" t="str">
        <x:v>article</x:v>
      </x:c>
      <x:c r="H150" s="7" t="str">
        <x:v>10.3389/fmars.2020.00132</x:v>
      </x:c>
      <x:c r="I150" s="7" t="str">
        <x:v>https://doi.org/10.3389/fmars.2020.00132</x:v>
      </x:c>
      <x:c r="J150" s="7" t="str">
        <x:v>Cold-water coral (CWC) communities form complex benthic ecosystems in a distinct part of the water column. The exact processes supporting CWC reef growth and changes with time are still partly unsolved. Besides local hydrographic conditions, noticeable interactions of tidal flow with topography have been reported for CWC sites. Recent studies have suggested a tidally driven hydraulic control of flow over topographic features as a driver for local overturning at cold-water coral sites. This mechanism proposed a link between surface productivity and coral growth depths and is a driver of resuspension of the bottom material. Only few studies have concentrated on how these processes vary with the health status and structure of the cold-water coral occurrences. In this study, we explore the processes over tidal cycles by analyzing in situ stratification, hydrography and velocity data which we then combine with local topography from seven Desmophyllum pertusum (previously Lophelia pertusa) dominated eastern Atlantic CWC sites, from the Arctic to the southern hemisphere. The “quality” of CWC sites varies from thriving to declining and dead reefs. We show that living and healthy corals are concentrated at sites, where local hydrodynamics create overturning and mixing which overcomes on a daily basis gravitational particle sinking and thus re-supply food to filter-feeding corals. We find a very wide range of local hydrographic and biogeochemical conditions at the sites which suggests they play only a secondary role for CWC health.</x:v>
      </x:c>
      <x:c r="K150" s="11" t="str">
        <x:v>YES</x:v>
      </x:c>
      <x:c r="L150" s="7" t="str">
        <x:v>FROZEN_PUBLIC_FULL_TEXT_LOCATION</x:v>
      </x:c>
      <x:c r="M150" s="7" t="str">
        <x:v>https://www.frontiersin.org/articles/10.3389/fmars.2020.00132/pdf</x:v>
      </x:c>
      <x:c r="N150" s="7" t="str">
        <x:v>VERIFIED_DOI_DOCUMENT</x:v>
      </x:c>
      <x:c r="O150" s="7" t="str">
        <x:v>B01_DEEP_COLD_SEDIMENT_EVIDENCE</x:v>
      </x:c>
      <x:c r="P150" s="11" t="str">
        <x:v>HIGH</x:v>
      </x:c>
      <x:c r="Q150" s="7" t="str">
        <x:v>Cold-water coral communities dominated by Desmophyllum pertusum (previously Lophelia pertusa) across eastern Atlantic sites from Arctic to southern hemisphere.</x:v>
      </x:c>
      <x:c r="R150" s="7" t="str">
        <x:v>Tidally driven hydraulic control of flow over topographic features, which drives resuspension of bottom material and influences suspended particle supply.</x:v>
      </x:c>
      <x:c r="S150" s="7" t="str">
        <x:v>Coral health condition is assessed, distinguishing thriving, declining, and dead reefs; links between local hydrodynamics and coral growth/health are evaluated.</x:v>
      </x:c>
      <x:c r="T150" s="7" t="str">
        <x:v>B01: The study directly examines cold-water corals and explicitly includes resuspension of bottom material as a mechanism, with biological/ecological evidence on coral health and growth. It is a substantive research article providing evidence on sediment-related processes and coral responses.</x:v>
      </x:c>
      <x:c r="U150" s="7" t="str">
        <x:v>This record is a peer-reviewed article on cold-water corals (Desmophyllum pertusum). It explicitly addresses resuspension of bottom material driven by tidal flow, a sediment-related pathway, and reports on coral health status across sites. This meets B01_DEEP_COLD_SEDIMENT_EVIDENCE because the resuspension pathway is linked to ecological outcomes (thriving vs declining reefs). The closest alternative would be CHAIN_ONLY if sediment were only incidental, but here resuspension is an explicit part of the mechanism. Therefore, inclusion is appropriate.</x:v>
      </x:c>
      <x:c r="V150" s="7" t="str">
        <x:v>ALL_VERIFIED_CENTRAL_PEER_REVIEWED</x:v>
      </x:c>
      <x:c r="W150" s="7" t="str">
        <x:v>TBV1-1362</x:v>
      </x:c>
    </x:row>
    <x:row r="151" ht="42" customHeight="1">
      <x:c r="A151" s="14" t="str">
        <x:v>B</x:v>
      </x:c>
      <x:c r="B151" s="7" t="str">
        <x:v>CWC-BEEFC104521D</x:v>
      </x:c>
      <x:c r="C151" s="7" t="str">
        <x:v>Tidal interactions with local topography above a sponge reef</x:v>
      </x:c>
      <x:c r="D151" s="7" t="str">
        <x:v>Jeannette Bedard</x:v>
      </x:c>
      <x:c r="E151" s="11" t="str">
        <x:v>2011</x:v>
      </x:c>
      <x:c r="F151" s="7" t="str">
        <x:v>UVic’s Research and Learning Repository (University of Victoria)</x:v>
      </x:c>
      <x:c r="G151" s="7" t="str">
        <x:v>dissertation</x:v>
      </x:c>
      <x:c r="H151" s="7" t="str"/>
      <x:c r="I151" s="7" t="str">
        <x:v>http://hdl.handle.net/1828/3320</x:v>
      </x:c>
      <x:c r="J151" s="7" t="str">
        <x:v>The interaction of tidal currents with Fraser Ridge in the Strait of Georgia, B.C., generates an internal lee-wave on each strong flood but, due to the ridge's asymmetry, not during ebbs. Just prior to lee-wave formation, a strong accelerated bottom jet forms with magnitudes up to 0.7 m s^-1 forms during barotropic tidal flows reaching 0.2 m s^-1. On the steepest slope, this jet forms directly above a rare glass sponge reef, and may prevent the sponges from being smothered in sediment by periodically resuspending and carrying it away. Both the accelerated jet and lee-wave remove tidal energy. At peak flood tide, the lee-wave has energy dissipation rates reaching 10^-5 W kg^-1 that removes energy at a rate of ~611 W m^-1, while the bottom boundary layer at the time of the accelerated jet has energy dissipation rates reaching 10^-4 W kg^-1 that removes energy at a rate of ~525 W m^-1.</x:v>
      </x:c>
      <x:c r="K151" s="11" t="str">
        <x:v>NO</x:v>
      </x:c>
      <x:c r="L151" s="7" t="str">
        <x:v>NOT_CONFIRMED</x:v>
      </x:c>
      <x:c r="M151" s="7" t="str"/>
      <x:c r="N151" s="7" t="str">
        <x:v>VERIFIED_BIBLIOGRAPHIC_DOCUMENT</x:v>
      </x:c>
      <x:c r="O151" s="7" t="str">
        <x:v>B01_DEEP_COLD_SEDIMENT_EVIDENCE</x:v>
      </x:c>
      <x:c r="P151" s="11" t="str">
        <x:v>HIGH</x:v>
      </x:c>
      <x:c r="Q151" s="7" t="str">
        <x:v>Cold-water glass sponge reef (rare glass sponge reef) in the Strait of Georgia, B.C.</x:v>
      </x:c>
      <x:c r="R151" s="7" t="str">
        <x:v>Sediment smothering risk addressed by tidal currents; accelerated bottom jet and internal lee-wave resuspend and transport sediment away from the reef.</x:v>
      </x:c>
      <x:c r="S151" s="7" t="str">
        <x:v>The study assesses physical dynamics (jet, lee-wave, dissipation) and hypothesizes that these processes prevent sediment smothering, providing indirect ecological condition evidence for sponge survival.</x:v>
      </x:c>
      <x:c r="T151" s="7" t="str">
        <x:v>Deep/cold-water sponge reef with explicit sediment pathway (resuspension, transport) and ecological relevance (prevention of smothering), qualifying as B01 deep/cold sediment evidence.</x:v>
      </x:c>
      <x:c r="U151" s="7" t="str">
        <x:v>This dissertation examines tidal interactions with topography above a rare glass sponge reef, focusing on an accelerated bottom jet and internal lee-wave that resuspend sediment. The abstract explicitly links these physical processes to preventing the sponges from being smothered, establishing a clear sediment pathway (resuspension/carry-away) and ecological condition outcome (avoided smothering). This meets B01_DEEP_COLD_SEDIMENT_EVIDENCE as a cold-water sponge source with sediment-related impact evidence. The closest alternative would be B02 for a substantive assessment, but B01 is more specific because the abstract directly relates sediment transport to sponge condition rather than being a broad review or assessment. The document is a substantive dissertation, not a webpage, and the sediment focus is central, so CHAIN_ONLY or EXCLUDE are inappropriate.</x:v>
      </x:c>
      <x:c r="V151" s="7" t="str">
        <x:v>ALL_VERIFIED_NON_TROPICAL_TIER_B_INCLUSIONS</x:v>
      </x:c>
      <x:c r="W151" s="7" t="str">
        <x:v>TBV1-0128</x:v>
      </x:c>
    </x:row>
    <x:row r="152" ht="42" customHeight="1">
      <x:c r="A152" s="14" t="str">
        <x:v>B</x:v>
      </x:c>
      <x:c r="B152" s="7" t="str">
        <x:v>GLV4-909B9B4E17F7</x:v>
      </x:c>
      <x:c r="C152" s="7" t="str">
        <x:v>Tilt Cove Exploration Drilling Project - Canada.ca</x:v>
      </x:c>
      <x:c r="D152" s="7" t="str"/>
      <x:c r="E152" s="11" t="str"/>
      <x:c r="F152" s="7" t="str">
        <x:v>iaac-aeic.gc.ca</x:v>
      </x:c>
      <x:c r="G152" s="7" t="str">
        <x:v>report</x:v>
      </x:c>
      <x:c r="H152" s="7" t="str"/>
      <x:c r="I152" s="7" t="str">
        <x:v>https://iaac-aeic.gc.ca/050/documents/p80177/147590E.pdf</x:v>
      </x:c>
      <x:c r="J152" s="7" t="str">
        <x:v>DFO (Fisheries and Oceans Canada). 2021. Coral and Sponge Mitigations in Relation to Exploratory Drilling Programs in the Newfoundland and Labrador Region. Canadian Science Advisory Secretariat Science Advisory Report 2021/028: 26. de Robertis, A. and N.O. Handegard. 2013. Fish avoidance of research vessels and the efficacy of noise-reduced vessels: A review. ICES Journal of Marine Science 70: 34-45. Edge, K.J., E.L. Johnston, K.A. Dafforn, S.L. Simpson, T. Kutti, and R.J. Bannister. 2016. Sub-lethal effects of water-based drilling muds on the deep-water sponge Geodia barretti. Environmental P</x:v>
      </x:c>
      <x:c r="K152" s="11" t="str">
        <x:v>YES</x:v>
      </x:c>
      <x:c r="L152" s="7" t="str">
        <x:v>PUBLIC_FULL_DOCUMENT_LOCATION</x:v>
      </x:c>
      <x:c r="M152" s="7" t="str">
        <x:v>https://iaac-aeic.gc.ca/050/documents/p80177/147590E.pdf</x:v>
      </x:c>
      <x:c r="N152" s="7" t="str">
        <x:v>VERIFIED_DIRECT_DOCUMENT_URL</x:v>
      </x:c>
      <x:c r="O152" s="7" t="str">
        <x:v>B02_DEEP_COLD_REVIEW_ASSESSMENT</x:v>
      </x:c>
      <x:c r="P152" s="11" t="str">
        <x:v>MEDIUM</x:v>
      </x:c>
      <x:c r="Q152" s="7" t="str">
        <x:v>Deep-water corals and sponges in the Newfoundland and Labrador region, including the sponge Geodia barretti.</x:v>
      </x:c>
      <x:c r="R152" s="7" t="str">
        <x:v>Exploratory drilling, drilling muds, and associated sediment-related pathways in a cold-water marine environment.</x:v>
      </x:c>
      <x:c r="S152" s="7" t="str">
        <x:v>Includes references to coral and sponge mitigation measures, science advisory reporting, and sub-lethal effects of water-based drilling muds on Geodia barretti.</x:v>
      </x:c>
      <x:c r="T152" s="7" t="str">
        <x:v>The document is a regulatory assessment/report for a drilling project, explicitly referencing coral and sponge mitigations and drilling-mud effects, thus meeting the deep/cold review/assessment pathway with a direct sediment-impact focus.</x:v>
      </x:c>
      <x:c r="U152" s="7" t="str">
        <x:v>This record is a government/regulatory assessment report (from iaac-aeic.gc.ca) for the Tilt Cove Exploration Drilling Project. The abstract/snippet includes citations to DFO's Coral and Sponge Mitigations in Relation to Exploratory Drilling Programs and Edge et al. (2016) on sub-lethal effects of drilling muds on the deep-water sponge Geodia barretti. This indicates the document itself is a substantive assessment with a direct sediment-impact focus on corals and sponges, qualifying as B02_DEEP_COLD_REVIEW_ASSESSMENT. The closest alternative would be exclusion for insufficient evidence, but the reference content strongly suggests relevant assessment material. Confidence is MEDIUM because only the reference list is provided, not the full text.</x:v>
      </x:c>
      <x:c r="V152" s="7" t="str">
        <x:v>ALL_VERIFIED_NON_TROPICAL_TIER_B_INCLUSIONS</x:v>
      </x:c>
      <x:c r="W152" s="7" t="str">
        <x:v>TBV1-0706</x:v>
      </x:c>
    </x:row>
    <x:row r="153" ht="42" customHeight="1">
      <x:c r="A153" s="14" t="str">
        <x:v>B</x:v>
      </x:c>
      <x:c r="B153" s="7" t="str">
        <x:v>CWC-742B2178A624</x:v>
      </x:c>
      <x:c r="C153" s="7" t="str">
        <x:v>Transcriptomic signatures across a critical sedimentation threshold in a major reef-building coral</x:v>
      </x:c>
      <x:c r="D153" s="7" t="str">
        <x:v>Colin Lock | Melissa M. Gabriel | Bastian Bentlage</x:v>
      </x:c>
      <x:c r="E153" s="11" t="str">
        <x:v>2023</x:v>
      </x:c>
      <x:c r="F153" s="7" t="str">
        <x:v>bioRxiv (Cold Spring Harbor Laboratory)</x:v>
      </x:c>
      <x:c r="G153" s="7" t="str">
        <x:v>preprint</x:v>
      </x:c>
      <x:c r="H153" s="7" t="str">
        <x:v>10.1101/2023.11.06.565897</x:v>
      </x:c>
      <x:c r="I153" s="7" t="str">
        <x:v>https://doi.org/10.1101/2023.11.06.565897</x:v>
      </x:c>
      <x:c r="J153" s="7" t="str">
        <x:v>Abstract Sedimentation is a major cause of global near-shore coral reef decline. While negative impacts of sedimentation on coral reef community composition have been well documented, the effects of sedimentation on coral metabolism in situ have received comparatively little attention. Using transcriptomics, we identified gene expression patterns changing across a previously defined sedimentation threshold that was deemed critical due to changes in coral cover and community composition. We identified genes, pathways, and molecular processes associated with this transition that may allow corals, such as Porites lobata , to tolerate chronic, severe sedimentation and persist in turbid environments. Alternative energy generation pathways may help Porites lobata maintain a persistent stress response to survive while light and oxygen availability are diminished. We found evidence for the expression of genes linked to increased environmental sensing and cellular communication that likely allow Porites lobata to efficiently respond to sedimentation stress and associated pathogen challenges. Cell damage increases under stress; consequently, we found apoptosis pathways over-represented under severe sedimentation, a likely consequence of damaged cell removal to maintain colony integrity. The results presented here provide a framework for the response of Porites lobata to sedimentation stress under field conditions. Testing this framework and its related hypotheses using multi-omics approaches can further our understanding of metabolic plasticity and acclimation potential of corals to sedimentation and their resilience in turbid reef systems.</x:v>
      </x:c>
      <x:c r="K153" s="11" t="str">
        <x:v>YES</x:v>
      </x:c>
      <x:c r="L153" s="7" t="str">
        <x:v>FROZEN_PUBLIC_FULL_TEXT_LOCATION</x:v>
      </x:c>
      <x:c r="M153" s="7" t="str">
        <x:v>https://www.biorxiv.org/content/biorxiv/early/2023/11/08/2023.11.06.565897.full.pdf</x:v>
      </x:c>
      <x:c r="N153" s="7" t="str">
        <x:v>VERIFIED_DOI_DOCUMENT</x:v>
      </x:c>
      <x:c r="O153" s="7" t="str">
        <x:v>B04_TROPICAL_PHYSICAL_SEDIMENT_ANALOGUE</x:v>
      </x:c>
      <x:c r="P153" s="11" t="str">
        <x:v>HIGH</x:v>
      </x:c>
      <x:c r="Q153" s="7" t="str">
        <x:v>Tropical reef-building coral Porites lobata</x:v>
      </x:c>
      <x:c r="R153" s="7" t="str">
        <x:v>Sedimentation, turbidity, chronic severe sedimentation, critical sedimentation threshold</x:v>
      </x:c>
      <x:c r="S153" s="7" t="str">
        <x:v>Transcriptomic gene expression changes including pathways related to alternative energy generation, environmental sensing, cellular communication, and apoptosis</x:v>
      </x:c>
      <x:c r="T153" s="7" t="str">
        <x:v>Directly examines a tropical coral's biological response to physical sediment exposure across a defined sedimentation threshold, qualifying as a B04 tropical physical sediment analogue study.</x:v>
      </x:c>
      <x:c r="U153" s="7" t="str">
        <x:v>The record is a preprint that explicitly investigates sedimentation effects on the tropical coral Porites lobata in situ. It uses transcriptomics to identify gene expression patterns across a previously defined critical sedimentation threshold, reporting molecular evidence of stress responses, metabolic plasticity, and apoptosis. This meets B04 because it involves a tropical coral, directly measures or tests physical sediment exposure (turbidity and sedimentation gradient), and reports a clearly relevant biological response (gene expression). It is not B01 or B02 as those require deep/cold systems, and not B03 because the organism is tropical. The document is an identifiable substantive preprint, so exclusion is not appropriate.</x:v>
      </x:c>
      <x:c r="V153" s="7" t="str">
        <x:v>SPARING_TOP_25_TROPICAL_DIRECT_PHYSICAL_ANALOGUES</x:v>
      </x:c>
      <x:c r="W153" s="7" t="str">
        <x:v>TBV1-1050</x:v>
      </x:c>
    </x:row>
    <x:row r="154" ht="42" customHeight="1">
      <x:c r="A154" s="14" t="str">
        <x:v>B</x:v>
      </x:c>
      <x:c r="B154" s="7" t="str">
        <x:v>CWC-23E9D08C4006</x:v>
      </x:c>
      <x:c r="C154" s="7" t="str">
        <x:v>Transient turbid water mass reduces temperature-induced coral bleaching and mortality in Barbados</x:v>
      </x:c>
      <x:c r="D154" s="7" t="str">
        <x:v>Hazel A. Oxenford | Henri Vallès</x:v>
      </x:c>
      <x:c r="E154" s="11" t="str">
        <x:v>2016</x:v>
      </x:c>
      <x:c r="F154" s="7" t="str">
        <x:v>PeerJ</x:v>
      </x:c>
      <x:c r="G154" s="7" t="str">
        <x:v>article</x:v>
      </x:c>
      <x:c r="H154" s="7" t="str">
        <x:v>10.7717/peerj.2118</x:v>
      </x:c>
      <x:c r="I154" s="7" t="str">
        <x:v>https://doi.org/10.7717/peerj.2118</x:v>
      </x:c>
      <x:c r="J154" s="7" t="str">
        <x:v>Global warming is seen as one of the greatest threats to the world's coral reefs and, with the continued rise in sea surface temperature predicted into the future, there is a great need for further understanding of how to prevent and address the damaging impacts. This is particularly so for countries whose economies depend heavily on healthy reefs, such as those of the eastern Caribbean. Here, we compare the severity of bleaching and mortality for five dominant coral species at six representative reef sites in Barbados during the two most significant warm-water events ever recorded in the eastern Caribbean, i.e., 2005 and 2010, and describe prevailing island-scale sea water conditions during both events. In so doing, we demonstrate that coral bleaching and subsequent mortality were considerably lower in 2010 than in 2005 for all species, irrespective of site, even though the anomalously warm water temperature profiles were very similar between years. We also show that during the 2010 event, Barbados was engulfed by a transient dark green turbid water mass of riverine origin coming from South America. We suggest that reduced exposure to high solar radiation associated with this transient water mass was the primary contributing factor to the lower bleaching and mortality observed in all corals. We conclude that monitoring these episodic mesoscale oceanographic features might improve risk assessments of southeastern Caribbean reefs to warm-water events in the future.</x:v>
      </x:c>
      <x:c r="K154" s="11" t="str">
        <x:v>YES</x:v>
      </x:c>
      <x:c r="L154" s="7" t="str">
        <x:v>FROZEN_PUBLIC_FULL_TEXT_LOCATION</x:v>
      </x:c>
      <x:c r="M154" s="7" t="str">
        <x:v>https://peerj.com/articles/2118.pdf</x:v>
      </x:c>
      <x:c r="N154" s="7" t="str">
        <x:v>VERIFIED_DOI_DOCUMENT</x:v>
      </x:c>
      <x:c r="O154" s="7" t="str">
        <x:v>B04_TROPICAL_PHYSICAL_SEDIMENT_ANALOGUE</x:v>
      </x:c>
      <x:c r="P154" s="11" t="str">
        <x:v>HIGH</x:v>
      </x:c>
      <x:c r="Q154" s="7" t="str">
        <x:v>Five dominant coral species at six reef sites in Barbados.</x:v>
      </x:c>
      <x:c r="R154" s="7" t="str">
        <x:v>Transient turbid water mass of riverine origin from South America, reducing solar radiation; compared between warm-water events with similar temperature profiles.</x:v>
      </x:c>
      <x:c r="S154" s="7" t="str">
        <x:v>Coral bleaching and subsequent mortality were considerably lower in 2010 than 2005, attributed to reduced solar radiation from turbidity.</x:v>
      </x:c>
      <x:c r="T154" s="7" t="str">
        <x:v>B04: tropical coral study directly comparing physical turbidity exposure and reporting a clearly relevant biological response (bleaching and mortality).</x:v>
      </x:c>
      <x:c r="U154" s="7" t="str">
        <x:v>The study is a tropical coral study that directly evaluates the effect of a turbid water mass on coral bleaching and mortality. The sediment pathway is explicit (transient turbid water of riverine origin), and the biological response is clearly measured (reduced bleaching and mortality). This fits B04, which allows observational evidence of physical sediment exposure and biological response. It is not merely a mention of turbidity; turbidity is the mechanism, making it preferable to exclusion.</x:v>
      </x:c>
      <x:c r="V154" s="7" t="str">
        <x:v>SPARING_TOP_25_TROPICAL_DIRECT_PHYSICAL_ANALOGUES</x:v>
      </x:c>
      <x:c r="W154" s="7" t="str">
        <x:v>TBV1-1052</x:v>
      </x:c>
    </x:row>
    <x:row r="155" ht="42" customHeight="1">
      <x:c r="A155" s="14" t="str">
        <x:v>B</x:v>
      </x:c>
      <x:c r="B155" s="7" t="str">
        <x:v>CWC-7A2CC1A1CCA7</x:v>
      </x:c>
      <x:c r="C155" s="7" t="str">
        <x:v>Trophic structure of a cold-water coral mound community (Rockall Bank, NE Atlantic) in relation to the near-bottom particle supply and current regime</x:v>
      </x:c>
      <x:c r="D155" s="7" t="str">
        <x:v>Gerard Duineveld | Marc Lavaleye | M.J.N. Bergman | Henko de Stigter | Furu Mienis</x:v>
      </x:c>
      <x:c r="E155" s="11" t="str">
        <x:v>2007</x:v>
      </x:c>
      <x:c r="F155" s="7" t="str">
        <x:v>Bulletin of Marine Science</x:v>
      </x:c>
      <x:c r="G155" s="7" t="str">
        <x:v>article</x:v>
      </x:c>
      <x:c r="H155" s="7" t="str"/>
      <x:c r="I155" s="7" t="str">
        <x:v>https://dialnet.unirioja.es/servlet/articulo?codigo=4908505</x:v>
      </x:c>
      <x:c r="J155" s="7" t="str">
        <x:v>On the SE slope of Rockall Bank, cold-water corals form dense aggregations on the top of elevated mounds supposedly because mounds give rise to topographically accelerated currents and thus enhanced particle supply. In 2005, a study was made of the trophic structure of a Rockall coral mound community by means of N-15 stable isotope signatures. Simultaneously near-bottom current speed, turbidity, and temperature were measured on and off the mound to search for links between the predominant feeding mode of the coral community, the particle supply, and the physical factors governing the supply. The range of delta N-15 in the coral community was small in comparison to other deep habitats due to the absence of deposit-feeders. The delta N-15 of corals was very close to those of obligate filter-feeders (tunicate, bivalves) indicating that corals assimilate similar types of particles as these filter-feeders. Benthic lander deployments on the mound and in the adjacent gully and plains showed that currents were highest off mound. No major differences were found in near-bottom turbidity between the habitats at the time of the cruise. An 11-mo lander deployment revealed an extended supply of fluorescent particles to the mound community between early February and July 2005. Particle supply to the corals varied daily with higher concentrations associated with relatively warm and saline water flowing down slope. The collected data point to a simplified food web in the coral community sustained by an advection of fresh particles derived from production higher on the bank. The typical distribution of cold-water corals capping the mounds cannot be explained simply by enhanced currents relative to the adjacent plain and gully.</x:v>
      </x:c>
      <x:c r="K155" s="11" t="str">
        <x:v>NO</x:v>
      </x:c>
      <x:c r="L155" s="7" t="str">
        <x:v>NOT_CONFIRMED</x:v>
      </x:c>
      <x:c r="M155" s="7" t="str"/>
      <x:c r="N155" s="7" t="str">
        <x:v>VERIFIED_BIBLIOGRAPHIC_DOCUMENT</x:v>
      </x:c>
      <x:c r="O155" s="7" t="str">
        <x:v>B01_DEEP_COLD_SEDIMENT_EVIDENCE</x:v>
      </x:c>
      <x:c r="P155" s="11" t="str">
        <x:v>HIGH</x:v>
      </x:c>
      <x:c r="Q155" s="7" t="str">
        <x:v>Cold-water corals on Rockall Bank mounds (SE slope), likely Lophelia-associated community.</x:v>
      </x:c>
      <x:c r="R155" s="7" t="str">
        <x:v>Near-bottom particle supply, turbidity, suspended particle flux, current regime, and advection of fresh particles.</x:v>
      </x:c>
      <x:c r="S155" s="7" t="str">
        <x:v>Trophic structure and feeding mode: coral delta N-15 signatures close to filter-feeders, indicating reliance on suspended particles; investigation of particle supply links to coral food web.</x:v>
      </x:c>
      <x:c r="T155" s="7" t="str">
        <x:v>B01: A deep/cold-water coral study explicitly addressing suspended-particle/turbidity/particle-supply pathways and providing biological/ecological evidence via trophic structure and feeding relationships.</x:v>
      </x:c>
      <x:c r="U155" s="7" t="str">
        <x:v>This is a substantive article on a cold-water coral mound community that directly investigates near-bottom particle supply and turbidity as a stressor/pathway, and links it to trophic structure (biological/ecological response). The abstract clearly reports corals consuming fresh advected particles, and the study examines particle supply variation and current regime. This meets the B01 deep/cold sediment-evidence pathway. It is not merely a distribution or mapping study; it provides ecological evidence of how particle supply affects coral feeding and food web structure. Exclusions do not apply: organism is cold-water coral, sediment/particle pathway is explicit, and response is biological/ecological. Closest alternative would be B03, but B01 more directly matches deep/cold sediment evidence. Confidence is high because the abstract is clear and specific.</x:v>
      </x:c>
      <x:c r="V155" s="7" t="str">
        <x:v>ALL_VERIFIED_CENTRAL_PEER_REVIEWED</x:v>
      </x:c>
      <x:c r="W155" s="7" t="str">
        <x:v>TBV1-0092</x:v>
      </x:c>
    </x:row>
    <x:row r="156" ht="42" customHeight="1">
      <x:c r="A156" s="14" t="str">
        <x:v>B</x:v>
      </x:c>
      <x:c r="B156" s="7" t="str">
        <x:v>CWC-6D38E0D634BA</x:v>
      </x:c>
      <x:c r="C156" s="7" t="str">
        <x:v>Turbid Coral Reefs: Past, Present and Future—A Review</x:v>
      </x:c>
      <x:c r="D156" s="7" t="str">
        <x:v>Adi Zweifler | Michael O’Leary | Kyle M. Morgan | Nicola K. Browne</x:v>
      </x:c>
      <x:c r="E156" s="11" t="str">
        <x:v>2021</x:v>
      </x:c>
      <x:c r="F156" s="7" t="str">
        <x:v>Diversity</x:v>
      </x:c>
      <x:c r="G156" s="7" t="str">
        <x:v>article</x:v>
      </x:c>
      <x:c r="H156" s="7" t="str">
        <x:v>10.3390/d13060251</x:v>
      </x:c>
      <x:c r="I156" s="7" t="str">
        <x:v>https://doi.org/10.3390/d13060251</x:v>
      </x:c>
      <x:c r="J156" s="7" t="str">
        <x:v>Increasing evidence suggests that coral reefs exposed to elevated turbidity may be more resilient to climate change impacts and serve as an important conservation hotspot. However, logistical difficulties in studying turbid environments have led to poor representation of these reef types within the scientific literature, with studies using different methods and definitions to characterize turbid reefs. Here we review the geological origins and growth histories of turbid reefs from the Holocene (past), their current ecological and environmental states (present), and their potential responses and resilience to increasing local and global pressures (future). We classify turbid reefs using new descriptors based on their turbidity regime (persistent, fluctuating, transitional) and sources of sediment input (natural versus anthropogenic). Further, by comparing the composition, function and resilience of two of the most studied turbid reefs, Paluma Shoals Reef Complex, Australia (natural turbidity) and Singapore reefs (anthropogenic turbidity), we found them to be two distinct types of turbid reefs with different conservation status. As the geographic range of turbid reefs is expected to increase due to local and global stressors, improving our understanding of their responses to environmental change will be central to global coral reef conservation efforts.</x:v>
      </x:c>
      <x:c r="K156" s="11" t="str">
        <x:v>YES</x:v>
      </x:c>
      <x:c r="L156" s="7" t="str">
        <x:v>FROZEN_PUBLIC_FULL_TEXT_LOCATION</x:v>
      </x:c>
      <x:c r="M156" s="7" t="str">
        <x:v>https://www.mdpi.com/1424-2818/13/6/251/pdf?version=1623125817</x:v>
      </x:c>
      <x:c r="N156" s="7" t="str">
        <x:v>VERIFIED_DOI_DOCUMENT</x:v>
      </x:c>
      <x:c r="O156" s="7" t="str">
        <x:v>B05_BROAD_SYNTHESIS_WITH_TARGET_EVIDENCE</x:v>
      </x:c>
      <x:c r="P156" s="11" t="str">
        <x:v>HIGH</x:v>
      </x:c>
      <x:c r="Q156" s="7" t="str">
        <x:v>Tropical coral reef communities, with specific focus on turbid reefs including Paluma Shoals Reef Complex and Singapore reefs.</x:v>
      </x:c>
      <x:c r="R156" s="7" t="str">
        <x:v>Elevated turbidity, sediment input from natural and anthropogenic sources, and variable turbidity regimes (persistent, fluctuating, transitional).</x:v>
      </x:c>
      <x:c r="S156" s="7" t="str">
        <x:v>Review of ecological state, composition, function, resilience, and responses to local and global pressures; discusses conservation status and potential resilience to climate change.</x:v>
      </x:c>
      <x:c r="T156" s="7" t="str">
        <x:v>This is a substantive review article that synthesizes sediment/turbidity effects on coral reefs, providing ecological and resilience assessments. It qualifies under B05 as a broad sediment-effects synthesis with target coral evidence, even though it does not present new experimental data.</x:v>
      </x:c>
      <x:c r="U156" s="7" t="str">
        <x:v>The record is a review of turbid coral reefs, explicitly examining elevated turbidity and sediment inputs and their ecological consequences, including composition, resilience, and conservation status. The organism is corals (tropical), the sediment pathway is turbidity and sedimentation, and the response is ecological and resilience-related. It does not fit B04 because it is a synthesis rather than a direct experimental measurement; B02 is for deep/cold systems, not applicable. It is not CHAIN_ONLY because it directly contains coral-sediment evidence. Thus B05 is the most appropriate Tier B pathway.</x:v>
      </x:c>
      <x:c r="V156" s="7" t="str">
        <x:v>ALL_VERIFIED_NON_TROPICAL_TIER_B_INCLUSIONS</x:v>
      </x:c>
      <x:c r="W156" s="7" t="str">
        <x:v>TBV1-1221</x:v>
      </x:c>
    </x:row>
    <x:row r="157" ht="42" customHeight="1">
      <x:c r="A157" s="14" t="str">
        <x:v>B</x:v>
      </x:c>
      <x:c r="B157" s="7" t="str">
        <x:v>CWC-543E1FDEF0FC</x:v>
      </x:c>
      <x:c r="C157" s="7" t="str">
        <x:v>Unravelling the enigma of discontinuous sedimentary deposits in cold-water coral mounds in the Atlantic Ocean</x:v>
      </x:c>
      <x:c r="D157" s="7" t="str">
        <x:v>Dierk Hebbeln | Claudia Wienberg</x:v>
      </x:c>
      <x:c r="E157" s="11" t="str">
        <x:v>2025</x:v>
      </x:c>
      <x:c r="F157" s="7" t="str">
        <x:v>Frontiers in Marine Science</x:v>
      </x:c>
      <x:c r="G157" s="7" t="str">
        <x:v>article</x:v>
      </x:c>
      <x:c r="H157" s="7" t="str">
        <x:v>10.3389/fmars.2025.1611432</x:v>
      </x:c>
      <x:c r="I157" s="7" t="str">
        <x:v>https://doi.org/10.3389/fmars.2025.1611432</x:v>
      </x:c>
      <x:c r="J157" s="7" t="str">
        <x:v>Cold-water coral mounds are common along the continental margins of the Atlantic Ocean. They are formed by coral growth and sediment accumulation and consist of coral fragments embedded in hemipelagic sediments. Coral mounds are expected to provide high-resolution palaeo-records due to their elevated morphology. However, most sediment cores from coral mounds exhibit significant hiatuses (stratigraphic gaps), often spanning more than 100 kyr, raising questions about the fate of deposits formed during these periods. Three processes behind the hiatuses are critically reviewed: gravity-induced mass wasting, non-deposition, and winnowing. While mass wasting could remove entire mound layers, hydrodynamically controlled processes like non-deposition and winnowing affect fine-grained sediments and do not mobilise larger coral fragments. Evidence for large-scale mass wasting events on coral mounds remains inconclusive, suggesting that hydrodynamic processes are the primary cause of the hiatuses in the mound record . Consequently, the coral record preserved on the mounds is typically complete. Mound formation occurs during active reef growth, while during periods without reef growth, strong hydrodynamics enhanced by the mound morphology increasing turbulence around the mound prevent sustained sediment accumulation, causing the frequently observed hiatuses.</x:v>
      </x:c>
      <x:c r="K157" s="11" t="str">
        <x:v>YES</x:v>
      </x:c>
      <x:c r="L157" s="7" t="str">
        <x:v>FROZEN_PUBLIC_FULL_TEXT_LOCATION</x:v>
      </x:c>
      <x:c r="M157" s="7" t="str">
        <x:v>https://www.frontiersin.org/journals/marine-science/articles/10.3389/fmars.2025.1611432/pdf</x:v>
      </x:c>
      <x:c r="N157" s="7" t="str">
        <x:v>VERIFIED_DOI_DOCUMENT</x:v>
      </x:c>
      <x:c r="O157" s="7" t="str">
        <x:v>B02_DEEP_COLD_REVIEW_ASSESSMENT</x:v>
      </x:c>
      <x:c r="P157" s="11" t="str">
        <x:v>HIGH</x:v>
      </x:c>
      <x:c r="Q157" s="7" t="str">
        <x:v>Cold-water corals forming mounds in the Atlantic Ocean</x:v>
      </x:c>
      <x:c r="R157" s="7" t="str">
        <x:v>Sedimentary processes: deposition, non-deposition, winnowing, mass wasting, hydrodynamics</x:v>
      </x:c>
      <x:c r="S157" s="7" t="str">
        <x:v>Assessment of discontinuous sedimentary deposits and hiatuses in coral mound records; evaluates controls on mound formation and preservation</x:v>
      </x:c>
      <x:c r="T157" s="7" t="str">
        <x:v>Substantive peer-reviewed review with a direct sediment-impact focus on cold-water coral mounds, meeting B02</x:v>
      </x:c>
      <x:c r="U157" s="7" t="str">
        <x:v>This article critically reviews processes creating hiatuses in cold-water coral mounds, including mass wasting, non-deposition, and winnowing. It is a substantive synthesis directly focused on sedimentary dynamics affecting cold-water coral habitats and their stratigraphic records. The review has clear potential to inform sediment exposure, mound vulnerability, and interpretation of coral records. It meets B02 as a deep/cold coral review with a direct sediment-impact focus. The closest alternative would be exclusion as physical sedimentology, but the explicit focus on coral mounds and their formation makes it eligible under B02.</x:v>
      </x:c>
      <x:c r="V157" s="7" t="str">
        <x:v>ALL_VERIFIED_CENTRAL_PEER_REVIEWED</x:v>
      </x:c>
      <x:c r="W157" s="7" t="str">
        <x:v>TBV1-0028</x:v>
      </x:c>
    </x:row>
    <x:row r="158" ht="42" customHeight="1">
      <x:c r="A158" s="14" t="str">
        <x:v>B</x:v>
      </x:c>
      <x:c r="B158" s="7" t="str">
        <x:v>CWC-42A1E5ADA14C</x:v>
      </x:c>
      <x:c r="C158" s="7" t="str">
        <x:v>Unusual shallow water Devonian coral community from Queensland and its recent analogues from the inshore Great Barrier Reef</x:v>
      </x:c>
      <x:c r="D158" s="7" t="str">
        <x:v>Mikołaj K. Zapalski | Andrew H. Baird | Tom C. L. Bridge | Michał Jakubowicz | James Daniell</x:v>
      </x:c>
      <x:c r="E158" s="11" t="str">
        <x:v>2021</x:v>
      </x:c>
      <x:c r="F158" s="7" t="str">
        <x:v>Coral Reefs</x:v>
      </x:c>
      <x:c r="G158" s="7" t="str">
        <x:v>article</x:v>
      </x:c>
      <x:c r="H158" s="7" t="str">
        <x:v>10.1007/s00338-020-02048-9</x:v>
      </x:c>
      <x:c r="I158" s="7" t="str">
        <x:v>https://doi.org/10.1007/s00338-020-02048-9</x:v>
      </x:c>
      <x:c r="J158" s="7" t="str">
        <x:v>Abstract Palaeozoic coral communities were dominated by two extinct coral groups: Tabulata and Rugosa. Whilst they are not closely related to modern Scleractinia, they are morphologically convergent, displaying many morphological characters that allow comparisons between recent and ancient coral reef communities. The extensive shallow-water reef communities of the Devonian were generally dominated by stromatoporoid sponges, with corals occupying deeper environments. Here, we describe an unusual, shallow water coral reef community from the Middle Devonian (Givetian, approx. 385 Ma) of the Fanning River area, Queensland, Australia. The coral community is dominated by tabulate corals, but also includes solitary and occasionally colonial rugose corals. Tabulate corals most commonly exhibit foliose and massive morphologies, but encrusting and branching growth forms also occur. The depositional environment was characterized by a shallow water depth, moderate hydrodynamic energy, high sedimentation rate, and high turbidity. Since these environmental factors influence the morphological composition of modern coral communities, we hypothesize that similar environments may result in morphologically equivalent coral assemblages throughout the Phanerozoic. To test this idea, we qualitatively compare the Fanning River reefs with modern scleractinian coral assemblages in a similar environmental setting at Magnetic Island. Both reefs are located in a shallow water less than 10 m deep, with high sediment flux, moderate wave energy, and generally high turbidity. Like Fanning River, Magnetic Island coral communities are dominated by foliose morphologies, with contributions from massive and branching forms. The Fanning River reef, together with previously identified Silurian and Devonian mesophotic coral ecosystems, suggest that Palaeozoic coral assemblages may share many functional characteristics with modern scleractinian reefs in similar environments. Therefore, the geological record of inshore, high turbidity-adapted coral communities can be traced back as far as 385 Ma.</x:v>
      </x:c>
      <x:c r="K158" s="11" t="str">
        <x:v>YES</x:v>
      </x:c>
      <x:c r="L158" s="7" t="str">
        <x:v>FROZEN_PUBLIC_FULL_TEXT_LOCATION</x:v>
      </x:c>
      <x:c r="M158" s="7" t="str">
        <x:v>https://link.springer.com/content/pdf/10.1007/s00338-020-02048-9.pdf</x:v>
      </x:c>
      <x:c r="N158" s="7" t="str">
        <x:v>VERIFIED_DOI_DOCUMENT</x:v>
      </x:c>
      <x:c r="O158" s="7" t="str">
        <x:v>B04_TROPICAL_PHYSICAL_SEDIMENT_ANALOGUE</x:v>
      </x:c>
      <x:c r="P158" s="11" t="str">
        <x:v>HIGH</x:v>
      </x:c>
      <x:c r="Q158" s="7" t="str">
        <x:v>Devonian tabulate and rugose corals; modern scleractinian corals at Magnetic Island (inshore Great Barrier Reef).</x:v>
      </x:c>
      <x:c r="R158" s="7" t="str">
        <x:v>High sedimentation rate, high turbidity, high sediment flux, moderate wave energy in shallow water (&lt;10 m).</x:v>
      </x:c>
      <x:c r="S158" s="7" t="str">
        <x:v>Coral community morphological composition dominated by foliose morphologies, with massive and branching forms; qualitative comparison of morphological convergence under high turbidity conditions.</x:v>
      </x:c>
      <x:c r="T158" s="7" t="str">
        <x:v>Meets B04 as a tropical coral study with direct relevance to physical sediment exposure (high turbidity, sedimentation) and biological response (morphological adaptation/community structure). The study explicitly links sediment regime to coral morphology in both ancient and modern analogues.</x:v>
      </x:c>
      <x:c r="U158" s="7" t="str">
        <x:v>The study examines an unusual shallow-water Devonian coral community characterized by high sedimentation and turbidity, and compares it to modern scleractinian assemblages at Magnetic Island (inshore Great Barrier Reef) under similar high-sediment, high-turbidity conditions. The organism evidence includes ancient Tabulata/Rugosa and modern Scleractinia. The sediment pathway is explicit: high sedimentation rate, turbidity, and sediment flux. The biological response is community morphological composition, with foliose morphologies dominant under turbid conditions. This is a clearly relevant response under B04_TROPICAL_PHYSICAL_SEDIMENT_ANALOGUE. It is not merely a mention of sediment; the paper directly addresses sediment regime as a driver of coral morphology and provides comparative evidence across time. Exclusions are not appropriate because coral evidence and sediment pathway are central. The closest alternative would be CHAIN_ONLY, but the abstract provides enough direct content for inclusion.</x:v>
      </x:c>
      <x:c r="V158" s="7" t="str">
        <x:v>SPARING_TOP_25_TROPICAL_DIRECT_PHYSICAL_ANALOGUES</x:v>
      </x:c>
      <x:c r="W158" s="7" t="str">
        <x:v>TBV1-1226</x:v>
      </x:c>
    </x:row>
    <x:row r="159" ht="42" customHeight="1">
      <x:c r="A159" s="14" t="str">
        <x:v>B</x:v>
      </x:c>
      <x:c r="B159" s="7" t="str">
        <x:v>CWC-F44066254E0A</x:v>
      </x:c>
      <x:c r="C159" s="7" t="str">
        <x:v>Validation of Numerical Model for Simulation of Drilling Discharges to Sea</x:v>
      </x:c>
      <x:c r="D159" s="7" t="str">
        <x:v>Henrik Rye | Edgar Furuholt</x:v>
      </x:c>
      <x:c r="E159" s="11" t="str">
        <x:v>2010</x:v>
      </x:c>
      <x:c r="F159" s="7" t="str">
        <x:v>Abu Dhabi International Petroleum Exhibition and Conference</x:v>
      </x:c>
      <x:c r="G159" s="7" t="str">
        <x:v>conference-paper</x:v>
      </x:c>
      <x:c r="H159" s="7" t="str">
        <x:v>10.2118/137348-ms</x:v>
      </x:c>
      <x:c r="I159" s="7" t="str">
        <x:v>https://doi.org/10.2118/137348-ms</x:v>
      </x:c>
      <x:c r="J159" s="7" t="str">
        <x:v>Abstract The site survey for the location of the Trolla exploration well in the Norwegian Sea revealed numerous potential locations of cold water corals. These corals are expected to be vulnerable for sedimentation of particles and exposure to chemicals from drill cuttings and drilling fluids. How vulnerable they are for these disturbances is, however, not well known. Numerical simulations were performed to predict spreading of drill cuttings and drilling fluids, including concentrations in the water column and sedimentation on the seabed. A monitoring program was also conducted, comprising cuttings particle size measurements, current measurements, sediment traps collecting depositing particles, sediment sampling, turbidity measurements and video observations. The monitoring program gave the possibility to compare results from the numerical model with observed deposition of drill cuttings. The simulation results showed good correspondence with the contents in the sediment traps, supporting the validity of the numerical model.</x:v>
      </x:c>
      <x:c r="K159" s="11" t="str">
        <x:v>NO</x:v>
      </x:c>
      <x:c r="L159" s="7" t="str">
        <x:v>NOT_CONFIRMED</x:v>
      </x:c>
      <x:c r="M159" s="7" t="str"/>
      <x:c r="N159" s="7" t="str">
        <x:v>VERIFIED_DOI_DOCUMENT</x:v>
      </x:c>
      <x:c r="O159" s="7" t="str">
        <x:v>B01_DEEP_COLD_SEDIMENT_EVIDENCE</x:v>
      </x:c>
      <x:c r="P159" s="11" t="str">
        <x:v>HIGH</x:v>
      </x:c>
      <x:c r="Q159" s="7" t="str">
        <x:v>Cold water corals in the Norwegian Sea near the Trolla exploration well.</x:v>
      </x:c>
      <x:c r="R159" s="7" t="str">
        <x:v>Drill cuttings and drilling fluids, including sedimentation, suspended particles, and turbidity.</x:v>
      </x:c>
      <x:c r="S159" s="7" t="str">
        <x:v>Monitoring program with sediment traps, turbidity measurements, and video observations; model validation against observed deposition to assess coral vulnerability.</x:v>
      </x:c>
      <x:c r="T159" s="7" t="str">
        <x:v>Explicit deep/cold-water coral context and explicit sediment pathway (drilling discharges); monitoring and impact assessment evidence supports inclusion under B01.</x:v>
      </x:c>
      <x:c r="U159" s="7" t="str">
        <x:v>This conference paper directly addresses cold-water coral vulnerability to sedimentation from drilling discharges. It presents numerical model validation supported by a monitoring program measuring sediment deposition and turbidity. This constitutes substantive monitoring and impact evidence for corals under B01_DEEP_COLD_SEDIMENT_EVIDENCE. The closest alternative is B02 (review/assessment), but B01 is more appropriate because the document presents primary monitoring/modeling evidence rather than a synthesis. CHAIN_ONLY is not chosen because direct coral-sediment monitoring evidence is present. Access status does not affect eligibility.</x:v>
      </x:c>
      <x:c r="V159" s="7" t="str">
        <x:v>ALL_VERIFIED_NON_TROPICAL_TIER_B_INCLUSIONS</x:v>
      </x:c>
      <x:c r="W159" s="7" t="str">
        <x:v>TBV1-0112</x:v>
      </x:c>
    </x:row>
    <x:row r="160" ht="42" customHeight="1">
      <x:c r="A160" s="14" t="str">
        <x:v>B</x:v>
      </x:c>
      <x:c r="B160" s="7" t="str">
        <x:v>CWC-FF10DA027731</x:v>
      </x:c>
      <x:c r="C160" s="7" t="str">
        <x:v>Variability of cold‐water coral mounds in a high sediment input and tidal current regime, Straits of Florida</x:v>
      </x:c>
      <x:c r="D160" s="7" t="str">
        <x:v>Thiago B.S. Correa | M. Grasmueck | Gregor P. Eberli | John K. Reed | Klaas Verwer | Sam J. Purkis</x:v>
      </x:c>
      <x:c r="E160" s="11" t="str">
        <x:v>2011</x:v>
      </x:c>
      <x:c r="F160" s="7" t="str">
        <x:v>Sedimentology</x:v>
      </x:c>
      <x:c r="G160" s="7" t="str">
        <x:v>article</x:v>
      </x:c>
      <x:c r="H160" s="7" t="str">
        <x:v>10.1111/j.1365-3091.2011.01306.x</x:v>
      </x:c>
      <x:c r="I160" s="7" t="str">
        <x:v>https://doi.org/10.1111/j.1365-3091.2011.01306.x</x:v>
      </x:c>
      <x:c r="J160" s="7" t="str">
        <x:v>Abstract Cold‐water coral mound morphology and development are thought to be controlled primarily by current regime. This study, however, reveals a general lack of correlation between prevailing bottom current direction and mound morphology (i.e. footprint shape and orientation), as well as current strength and mound size (i.e. footprint area and height). These findings are based on quantitative analyses of a high‐resolution geophysical dataset collected with an Autonomous Underwater Vehicle from three cold‐water coral mound sites at the toe of slope of Great Bahama Bank. The three sites (80 km 2 total) have an average of 14 mounds km −2 , indicating that the Great Bahama Bank slope is a major coral mound region. At all three sites living coral colonies are observed on the surface of the mounds, documenting active mound growth. Morphometric analysis shows that mounds at these sites vary significantly in height (1 to 83 m), area (81 to 6 00 000 m 2 ), shape (mound aspect ratio 0·1 to 1) and orientation (mound longest axis 0 to 180°). The Autonomous Underwater Vehicle measured bottom current data depict a north–south flowing current that reverses approximately every six hours. The tidal nature of this current and its intermittent deviations during reversals are interpreted to contribute to the observed mound complexity. An additional factor contributing to the variability in mound morphometrics is the sediment deposition rate that varies among and within sites. At most locations sedimentation rate lags slightly behind mound growth rate, causing mounds to develop into large structures. Where sedimentation rates are higher than mound growth rates, sediment partially or completely buries mounds. The spatial distribution and alignment of mounds can also be related to gravity mass deposits, as indicated by geomorphological features (for example, slope failure and linear topographic highs) in the three‐dimensional bathymetry. In summary, variability in sedimentation rates, current regime and underlying topography produce extraordinarily high variability in the distribution, development and morphology of coral mounds on the Great Bahama Bank slope.</x:v>
      </x:c>
      <x:c r="K160" s="11" t="str">
        <x:v>NO</x:v>
      </x:c>
      <x:c r="L160" s="7" t="str">
        <x:v>NOT_CONFIRMED</x:v>
      </x:c>
      <x:c r="M160" s="7" t="str"/>
      <x:c r="N160" s="7" t="str">
        <x:v>VERIFIED_DOI_DOCUMENT</x:v>
      </x:c>
      <x:c r="O160" s="7" t="str">
        <x:v>B01_DEEP_COLD_SEDIMENT_EVIDENCE</x:v>
      </x:c>
      <x:c r="P160" s="11" t="str">
        <x:v>MEDIUM</x:v>
      </x:c>
      <x:c r="Q160" s="7" t="str">
        <x:v>Cold-water corals and coral mounds at Great Bahama Bank slope; living coral colonies observed on mound surfaces.</x:v>
      </x:c>
      <x:c r="R160" s="7" t="str">
        <x:v>High sediment input and variable sedimentation rates; burial by sediment where rates exceed mound growth; tidal current regime.</x:v>
      </x:c>
      <x:c r="S160" s="7" t="str">
        <x:v>Mound development, morphology, and growth vs. burial status; living colonies indicate active growth, while high sedimentation leads to partial or complete burial.</x:v>
      </x:c>
      <x:c r="T160" s="7" t="str">
        <x:v>B01 deep-cold sediment evidence: explicit sediment deposition/burial pathway with indirect biological/ecological condition evidence (active growth vs. burial).</x:v>
      </x:c>
      <x:c r="U160" s="7" t="str">
        <x:v>The record is a deep-sea cold-water coral mound study in a high-sediment, tidal-current setting. It explicitly examines sediment deposition rates and current regime as controls on mound development, showing that where sedimentation exceeds mound growth, mounds are partially or completely buried, while living coral colonies document active growth elsewhere. This provides indirect biological/ecological evidence of sediment effects on cold-water corals, qualifying under B01. Although primarily geological, the direct linkage between sedimentation and mound condition (growth/burial) with observed living corals meets the broader Tier B standard. It is preferred over CHAIN_ONLY because sediment-corals response content is present, and over EXCLUDE because the study does address sediment deposition impacts on coral mound condition.</x:v>
      </x:c>
      <x:c r="V160" s="7" t="str">
        <x:v>ALL_VERIFIED_CENTRAL_PEER_REVIEWED</x:v>
      </x:c>
      <x:c r="W160" s="7" t="str">
        <x:v>TBV1-0008</x:v>
      </x:c>
    </x:row>
    <x:row r="161" ht="42" customHeight="1">
      <x:c r="A161" s="14" t="str">
        <x:v>B</x:v>
      </x:c>
      <x:c r="B161" s="7" t="str">
        <x:v>CWC-A4B4BC56952A</x:v>
      </x:c>
      <x:c r="C161" s="7" t="str">
        <x:v>Water-mass dynamics of an Arctic cold-water coral reef: First results from a new ocean observatory system</x:v>
      </x:c>
      <x:c r="D161" s="7" t="str">
        <x:v>Sascha Flögel | Johannes Karstensen | Петер Линке | Olaf Pfannkuche | Kseniia Ashastina | Wolf‐Christian Dullo</x:v>
      </x:c>
      <x:c r="E161" s="11" t="str">
        <x:v>2015</x:v>
      </x:c>
      <x:c r="F161" s="7" t="str">
        <x:v>Helmholtz Centre for Ocean Research Kiel (GEOMAR)</x:v>
      </x:c>
      <x:c r="G161" s="7" t="str">
        <x:v>conference-paper</x:v>
      </x:c>
      <x:c r="H161" s="7" t="str"/>
      <x:c r="I161" s="7" t="str">
        <x:v>http://oceanrep.geomar.de/30769/</x:v>
      </x:c>
      <x:c r="J161" s="7" t="str">
        <x:v>Cold-water coral reefs occur at various sites along the European continental margin, like in the Mediterranean Sea, on carbonate mounds West off Ireland, or at shallower depths between 100 and 350 m on the Norwegian shelf. Their occurrence is related to different physical parameters like temperature, salinity, seawater density, dissolved oxygen, and to other environmental parameters such as internal wave activity, nutrient supply, strong currents, which keep sediment input low, etc. Here, we present first results from a long-term observation in one of the nortnermost cold-water coral reefs at 70.5°N - the Stjernsund in northern Norway. The Stjernsund is a 30 km long and up to 3.5 km wide sound connecting the open North Atlantic with a fjord system. A deep-seated SW-NE oriented morainic sill with varying depths (203-236 m) splits the more than 400 m deep sound into two troughs. Living Lophelia pertusa dominated reef complexes occur on the NW slope between 235 and 305 m water depths and on the SE slope between 245 and 280 m. To investigate the dominating physical and biogeochemical boundary conditions a new modular seafloor observatory, MoLab, consisting of five sea-floor observatories and two moorings was deployed for 100 days during the summer of 2012. The various lander systems and moorimgs were equipped with sensors to measure current velocities and directions, temperature, salinity, pressure, pH, turbidity, fluorescence, oxygen concentration and saturation. Results showed that near-bottom salinities, temperature and current velocities are dominated by a semi-diurnal tidal forcing (pronounced M2 constituent), which cause vertical water mass movements of up to 100 m. These influence large parts of the living reef. Closer examination revealed overturning cells on the south-eastern slope of the sill during high tide, when Atlantic Water flows over the sill. The appearance of living cold-water corals is limited to a density envelope of sigma-theta=27.25-27.50 kg/m-3, which marks the boundary between Norwegian Coastal Water and Atlantic Water. Globally, Lophelia pertusa lives in waters covering a wide range of physical and biogeochemical parameters. This new data sets indicates parameter ranges, of e.g. current velocities (15-30 cm/s), temperature (6.0-6.8°C) and salinity (34.1-34.8), pH (8.22-7.39), turbidity (0.1-0.9 NTU), and oxygen concentration (300-339 μM) that are in agreement with other cold-water coral reefs in the NE Atlantic. The overall circulation depicts a complex dynamic system with pronounced differences not only vertically, but also important horizontal changes on top of the sill.</x:v>
      </x:c>
      <x:c r="K161" s="11" t="str">
        <x:v>NO</x:v>
      </x:c>
      <x:c r="L161" s="7" t="str">
        <x:v>NOT_CONFIRMED</x:v>
      </x:c>
      <x:c r="M161" s="7" t="str"/>
      <x:c r="N161" s="7" t="str">
        <x:v>VERIFIED_BIBLIOGRAPHIC_DOCUMENT</x:v>
      </x:c>
      <x:c r="O161" s="7" t="str">
        <x:v>B01_DEEP_COLD_SEDIMENT_EVIDENCE</x:v>
      </x:c>
      <x:c r="P161" s="11" t="str">
        <x:v>HIGH</x:v>
      </x:c>
      <x:c r="Q161" s="7" t="str">
        <x:v>Cold-water coral Lophelia pertusa reef in the Arctic Stjernsund</x:v>
      </x:c>
      <x:c r="R161" s="7" t="str">
        <x:v>Turbidity (0.1-0.9 NTU) and low sediment input maintained by strong currents</x:v>
      </x:c>
      <x:c r="S161" s="7" t="str">
        <x:v>Living coral occurrence limited to a turbidity range; environmental monitoring of reef conditions</x:v>
      </x:c>
      <x:c r="T161" s="7" t="str">
        <x:v>B01: deep/cold-water coral source with an explicit turbidity (suspended particle) pathway and biological condition/threshold evidence</x:v>
      </x:c>
      <x:c r="U161" s="7" t="str">
        <x:v>The abstract describes an ocean observatory monitoring an Arctic cold-water coral reef (Lophelia pertusa) and reports turbidity values (0.1-0.9 NTU) as part of the environmental envelope for living corals. It also links strong currents to keeping sediment input low, indicating sediment control on reef occurrence. This is explicit turbidity/sediment pathway evidence with biological condition thresholds for a cold-water coral, meeting B01.</x:v>
      </x:c>
      <x:c r="V161" s="7" t="str">
        <x:v>ALL_VERIFIED_NON_TROPICAL_TIER_B_INCLUSIONS</x:v>
      </x:c>
      <x:c r="W161" s="7" t="str">
        <x:v>TBV1-0093</x:v>
      </x:c>
    </x:row>
    <x:row r="162" ht="42" customHeight="1">
      <x:c r="A162" s="14" t="str">
        <x:v>B</x:v>
      </x:c>
      <x:c r="B162" s="7" t="str">
        <x:v>CWC-E7DDC7852047</x:v>
      </x:c>
      <x:c r="C162" s="7" t="str">
        <x:v>West Flemish Pass Exploration Drilling Project</x:v>
      </x:c>
      <x:c r="D162" s="7" t="str"/>
      <x:c r="E162" s="11" t="str"/>
      <x:c r="F162" s="7" t="str">
        <x:v>Impact Assessment Agency of Canada</x:v>
      </x:c>
      <x:c r="G162" s="7" t="str">
        <x:v>regulator_assessment</x:v>
      </x:c>
      <x:c r="H162" s="7" t="str"/>
      <x:c r="I162" s="7" t="str">
        <x:v>https://iaac-aeic.gc.ca/050/documents/p80161/134673E.pdf</x:v>
      </x:c>
      <x:c r="J162" s="7" t="str">
        <x:v>offshore have noted that some species may be more susceptible to shallower burial depths and a more conservative PNET of 1.5 millimetres has been applied. Update the discussion of potential effects of drill wastes on corals and sponges to include a 1.5 mm threshold or provide a rationale as to why the burial threshold of 6.5 millimeters is sufficient. West Flemish Pass Exploration Drilling Project – Information Requirements Table ID Reference to EIS Context and Rationale Specific Question/ [...] Specific Question/ Information Requirement Section 15.5.1.3.3 SBM Spill from the MODU and the Marin</x:v>
      </x:c>
      <x:c r="K162" s="11" t="str">
        <x:v>YES</x:v>
      </x:c>
      <x:c r="L162" s="7" t="str">
        <x:v>FROZEN_PUBLIC_FULL_TEXT_LOCATION</x:v>
      </x:c>
      <x:c r="M162" s="7" t="str">
        <x:v>https://iaac-aeic.gc.ca/050/documents/p80161/134673E.pdf</x:v>
      </x:c>
      <x:c r="N162" s="7" t="str">
        <x:v>VERIFIED_DIRECT_DOCUMENT_URL</x:v>
      </x:c>
      <x:c r="O162" s="7" t="str">
        <x:v>B02_DEEP_COLD_REVIEW_ASSESSMENT</x:v>
      </x:c>
      <x:c r="P162" s="11" t="str">
        <x:v>HIGH</x:v>
      </x:c>
      <x:c r="Q162" s="7" t="str">
        <x:v>Corals and sponges (deep/cold-water, offshore West Flemish Pass)</x:v>
      </x:c>
      <x:c r="R162" s="7" t="str">
        <x:v>Drill wastes and burial; discussion of burial thresholds (1.5 mm and 6.5 mm)</x:v>
      </x:c>
      <x:c r="S162" s="7" t="str">
        <x:v>Assessment of potential effects of drill wastes on corals and sponges; includes PNET of 1.5 mm and question of whether 6.5 mm threshold is sufficient</x:v>
      </x:c>
      <x:c r="T162" s="7" t="str">
        <x:v>Regulatory assessment (Impact Assessment Agency of Canada) with direct sediment-impact focus on corals and sponges, providing threshold and impact assessment information.</x:v>
      </x:c>
      <x:c r="U162" s="7" t="str">
        <x:v>The document is a regulatory assessment from the Impact Assessment Agency of Canada concerning the West Flemish Pass Exploration Drilling Project. The supplied snippet explicitly discusses potential effects of drill wastes on corals and sponges, including burial thresholds (1.5 mm and 6.5 mm). This is a substantive government assessment with a direct sediment-impact focus, satisfying B02. It is not merely a chain-only record because it contains direct coral/sponge sediment-effects content. It is preferable to B01 because it is an assessment document rather than primary evidence. Confidence high because the snippet clearly indicates relevance.</x:v>
      </x:c>
      <x:c r="V162" s="7" t="str">
        <x:v>ALL_VERIFIED_NON_TROPICAL_TIER_B_INCLUSIONS</x:v>
      </x:c>
      <x:c r="W162" s="7" t="str">
        <x:v>TBV1-0246</x:v>
      </x:c>
    </x:row>
    <x:row r="163" ht="42" customHeight="1">
      <x:c r="A163" s="14" t="str">
        <x:v>B</x:v>
      </x:c>
      <x:c r="B163" s="7" t="str">
        <x:v>GLV4-2A7AD7BF4F7F</x:v>
      </x:c>
      <x:c r="C163" s="7" t="str">
        <x:v>West of Scotland MPA: Fisheries Management Options Paper - JNCC</x:v>
      </x:c>
      <x:c r="D163" s="7" t="str"/>
      <x:c r="E163" s="11" t="str"/>
      <x:c r="F163" s="7" t="str">
        <x:v>data.jncc.gov.uk</x:v>
      </x:c>
      <x:c r="G163" s="7" t="str">
        <x:v>report</x:v>
      </x:c>
      <x:c r="H163" s="7" t="str"/>
      <x:c r="I163" s="7" t="str">
        <x:v>https://data.jncc.gov.uk/data/37955242-d60b-4494-8e2c-94e93fb0de6f/west-of-scotland-management-options-paper.pdf</x:v>
      </x:c>
      <x:c r="J163" s="7" t="str">
        <x:v>affect the extent and distribution of Seamount community features, as well as their structure and function. Deep-sea sponge aggregations are highly sensitive to bycatch, abrasion, and penetration pressures (Dinwoodie, 2021a, 2021b, Last et al. 2019a, 2019b). Studies on Deep-sea sponge aggregations have found that trawling damages, displaces and removes sponges through direct physical impact, as well as from disturbed sediment resettling and causing smothering beyond the path of the trawl itself (Buhl-Mortensen et al. 2016; ICES, 2007, 2010; Kędra et al. 2017; OSPAR, 2010a). Deep-sea sponges ha</x:v>
      </x:c>
      <x:c r="K163" s="11" t="str">
        <x:v>YES</x:v>
      </x:c>
      <x:c r="L163" s="7" t="str">
        <x:v>PUBLIC_FULL_DOCUMENT_LOCATION</x:v>
      </x:c>
      <x:c r="M163" s="7" t="str">
        <x:v>https://data.jncc.gov.uk/data/37955242-d60b-4494-8e2c-94e93fb0de6f/west-of-scotland-management-options-paper.pdf</x:v>
      </x:c>
      <x:c r="N163" s="7" t="str">
        <x:v>VERIFIED_DIRECT_DOCUMENT_URL</x:v>
      </x:c>
      <x:c r="O163" s="7" t="str">
        <x:v>B02_DEEP_COLD_REVIEW_ASSESSMENT</x:v>
      </x:c>
      <x:c r="P163" s="11" t="str">
        <x:v>HIGH</x:v>
      </x:c>
      <x:c r="Q163" s="7" t="str">
        <x:v>Deep-sea sponge aggregations and seamount community features in the West of Scotland MPA.</x:v>
      </x:c>
      <x:c r="R163" s="7" t="str">
        <x:v>Trawling physical impact; disturbed sediment resettling causing smothering beyond the trawl path.</x:v>
      </x:c>
      <x:c r="S163" s="7" t="str">
        <x:v>Assesses sensitivity of deep-sea sponge aggregations to fishing pressures, including sediment smothering; provides management options for MPA fisheries.</x:v>
      </x:c>
      <x:c r="T163" s="7" t="str">
        <x:v>Substantive government management/assessment report with direct sediment-impact focus on deep-sea sponges, qualifying under B02.</x:v>
      </x:c>
      <x:c r="U163" s="7" t="str">
        <x:v>This is a JNCC fisheries management options paper for the West of Scotland MPA. The supplied snippet explicitly identifies deep-sea sponge aggregations as sensitive to bycatch, abrasion, and penetration, and states that trawling damages, displaces, and removes sponges through direct physical impact as well as through disturbed sediment resettling and smothering beyond the trawl path. This is a substantive regulatory/management assessment with a clear sediment-impact pathway relevant to cold-water sponges, fitting B02. It is not a mere discovery page or news item. The evidence directly informs impact, exposure, and mitigation for deep-sea sponge features. The closest alternative, B01, would apply to primary evidence, but this is a review/assessment document, making B02 more appropriate.</x:v>
      </x:c>
      <x:c r="V163" s="7" t="str">
        <x:v>ALL_VERIFIED_NON_TROPICAL_TIER_B_INCLUSIONS</x:v>
      </x:c>
      <x:c r="W163" s="7" t="str">
        <x:v>TBV1-0522</x:v>
      </x:c>
    </x:row>
    <x:row r="164" ht="42" customHeight="1">
      <x:c r="A164" s="14" t="str">
        <x:v>B</x:v>
      </x:c>
      <x:c r="B164" s="7" t="str">
        <x:v>CWC-37F88897C373</x:v>
      </x:c>
      <x:c r="C164" s="7" t="str">
        <x:v>Will Drill Cuttings and Drill Mud Harm Cold Water Corals?</x:v>
      </x:c>
      <x:c r="D164" s="7" t="str">
        <x:v>Kjell Andreas Jødestøl | Edgar Furuholt</x:v>
      </x:c>
      <x:c r="E164" s="11" t="str">
        <x:v>2010</x:v>
      </x:c>
      <x:c r="F164" s="7" t="str">
        <x:v>SPE International Conference on Health, Safety and Environment in Oil and Gas Exploration and Production</x:v>
      </x:c>
      <x:c r="G164" s="7" t="str">
        <x:v>conference-paper</x:v>
      </x:c>
      <x:c r="H164" s="7" t="str">
        <x:v>10.2118/126468-ms</x:v>
      </x:c>
      <x:c r="I164" s="7" t="str">
        <x:v>https://doi.org/10.2118/126468-ms</x:v>
      </x:c>
      <x:c r="J164" s="7" t="str">
        <x:v>Abstract Cold water corals, e.g. Lophelia pertusa and Paragorgia arborea, are found in several places in the Norwegian Sea where oil exploration and production activities are going on. The corals are expected to be vulnerable for sedimentation of particles and exposure to chemicals from drilling activities (drill cuttings and drilling mud) and for physical damage from e.g. anchor lines. How vulnerable they are for these disturbances is, however, not well known. Oil and gas licences licenses in the area are therefore obligated to map possible corals and to take measures to avoid harming them. These obligations have been strengthened in the Integrated Management Plan for the Norwegian Sea approved by the Norwegian Parliament in May 2009. Det norske oljeselskap has in 2009 drilled 4 exploration wells in the Norwegian Sea and carried out a number of activities to map corals, study the effects of drill cuttings and drilling mud, and apply technical and operational measures to reduce the effects. This includes: Mapping of corals around the drill site by use of side scan sonar, multibeam echo sounder and ROV mounted camera/videoMeasurement of particle size distributions in the discharges of cuttings and drilling mudComputer simulation of sea bed currents and sedimentation of discharged particlesAnalyses of particles from sediment traps and sea bottom core samples close to the drill site for verification of simulation models and evaluation of effects on coralsCamera observation of corals before and after the drilling operationRecovery of all cuttings (also from the top hole) to the rig for possible disposal away from corals. Our experience shows that technology is available to handle drill cuttings and mud and control the discharges and spreading to avoid harming corals and other sensitive resources.</x:v>
      </x:c>
      <x:c r="K164" s="11" t="str">
        <x:v>NO</x:v>
      </x:c>
      <x:c r="L164" s="7" t="str">
        <x:v>NOT_CONFIRMED</x:v>
      </x:c>
      <x:c r="M164" s="7" t="str"/>
      <x:c r="N164" s="7" t="str">
        <x:v>VERIFIED_DOI_DOCUMENT</x:v>
      </x:c>
      <x:c r="O164" s="7" t="str">
        <x:v>B01_DEEP_COLD_SEDIMENT_EVIDENCE</x:v>
      </x:c>
      <x:c r="P164" s="11" t="str">
        <x:v>HIGH</x:v>
      </x:c>
      <x:c r="Q164" s="7" t="str">
        <x:v>Cold-water corals: Lophelia pertusa and Paragorgia arborea.</x:v>
      </x:c>
      <x:c r="R164" s="7" t="str">
        <x:v>Drill cuttings and drilling mud from oil and gas exploration, leading to sedimentation of particles; also mention of discharges and sedimentation.</x:v>
      </x:c>
      <x:c r="S164" s="7" t="str">
        <x:v>The paper describes mapping of corals, measurement of particle size distributions, computer simulation of sea bed currents and sedimentation, analyses of sediment traps and core samples for verification, camera observation before and after drilling, and recovery of all cuttings to avoid harming corals; thus monitoring and impact assessment evidence for coral vulnerability to sedimentation.</x:v>
      </x:c>
      <x:c r="T164" s="7" t="str">
        <x:v>B01_DEEP_COLD_SEDIMENT_EVIDENCE - A cold-water coral source (Lophelia pertusa, Paragorgia arborea) explicitly addressing drill cuttings/mud sedimentation and reporting monitoring, assessment, and operational measures related to coral impacts.</x:v>
      </x:c>
      <x:c r="U164" s="7" t="str">
        <x:v>This conference paper directly addresses effects of drill cuttings and drilling mud on cold-water corals in the Norwegian Sea. The organisms are explicit (Lophelia pertusa, Paragorgia arborea) and the sediment pathway is explicit (drill cuttings, mud, sedimentation of discharged particles). The paper reports multiple lines of assessment evidence: coral mapping, particle size analysis, sedimentation modeling, sediment trap/core verification, and before/after camera observation. This constitutes monitoring/impact evidence for coral vulnerability, even if not reporting a strict quantitative response threshold. It therefore qualifies under B01. The closest alternative would be exclusion for lacking detailed biological response, but the monitoring and operational mitigation data provide substantive assessment value. B02 is less appropriate because this is a case-study paper rather than a review or regulatory assessment.</x:v>
      </x:c>
      <x:c r="V164" s="7" t="str">
        <x:v>ALL_VERIFIED_NON_TROPICAL_TIER_B_INCLUSIONS</x:v>
      </x:c>
      <x:c r="W164" s="7" t="str">
        <x:v>TBV1-0009</x:v>
      </x:c>
    </x:row>
    <x:row r="165" ht="42" customHeight="1">
      <x:c r="A165" s="14" t="str">
        <x:v>B</x:v>
      </x:c>
      <x:c r="B165" s="7" t="str">
        <x:v>CWC-F020341AAC3E</x:v>
      </x:c>
      <x:c r="C165" s="7" t="str">
        <x:v>Will Drill Cuttings and Drill Mud Harm Cold Water Corals?</x:v>
      </x:c>
      <x:c r="D165" s="7" t="str">
        <x:v>Kjell Jodestol</x:v>
      </x:c>
      <x:c r="E165" s="11" t="str">
        <x:v>2010</x:v>
      </x:c>
      <x:c r="F165" s="7" t="str">
        <x:v>Proceedings of SPE International Conference on Health, Safety, and Environment in Oil and Gas Exploration and Production</x:v>
      </x:c>
      <x:c r="G165" s="7" t="str">
        <x:v>conference-paper</x:v>
      </x:c>
      <x:c r="H165" s="7" t="str">
        <x:v>10.2523/126468-ms</x:v>
      </x:c>
      <x:c r="I165" s="7" t="str">
        <x:v>https://doi.org/10.2523/126468-ms</x:v>
      </x:c>
      <x:c r="J165" s="7" t="str">
        <x:v>Will Drill Cuttings and Drill Mud Harm Cold Water Corals? Kjell Jødestøl; Kjell Jødestøl Det norske oljeselskap ASA Search for other works by this author on: This Site Google Scholar Edgar Furuholt Edgar Furuholt Det norske oljeselskap ASA Search for other works by this author on: This Site Google Scholar Paper presented at the SPE International Conference on Health, Safety and Environment in Oil and Gas Exploration and Production, Rio de Janeiro, Brazil, April 2010. Paper Number: SPE-126468-MS https://doi.org/10.2118/126468-MS Published: April 12 2010 Cite View This Citation Add to Citation Manager Share Icon Share Twitter LinkedIn Get Permissions Search Site Citation Jødestøl, Kjell , and Edgar Furuholt. "Will Drill Cuttings and Drill Mud Harm Cold Water Corals?." Paper presented at the SPE International Conference on Health, Safety and Environment in Oil and Gas Exploration and Production, Rio de Janeiro, Brazil, April 2010. doi: https://doi.org/10.2118/126468-MS Download citation file: Ris (Zotero) Reference Manager EasyBib Bookends Mendeley Papers EndNote RefWorks BibTex Search Dropdown Menu nav search search input Search input auto suggest search filter All ContentAll ProceedingsSociety of Petroleum Engineers (SPE)SPE International Conference and Exhibition on Health, Safety, Environment, and Sustainability Search Advanced Search Abstract Cold water corals, e.g. Lophelia pertusa and Paragorgia arborea, are found in several places in the Norwegian Sea where oil exploration and production activities are going on. The corals are expected to be vulnerable for sedimentation of particles and exposure to chemicals from drilling activities (drill cuttings and drilling mud) and for physical damage from e.g. anchor lines. How vulnerable they are for these disturbances is, however, not well known. Oil and gas licences licenses in the area are therefore obligated to map possible corals and to take measures to avoid harming them. These obligations have been strengthened in the Integrated Management Plan for the Norwegian Sea approved by the Norwegian Parliament in May 2009.Det norske oljeselskap has in 2009 drilled 4 exploration wells in the Norwegian Sea and carried out a number of activities to map corals, study the effects of drill cuttings and drilling mud, and apply technical and operational measures to reduce the effects. This includes: Mapping of corals around the drill site by use of side scan sonar, multibeam echo sounder and ROV mounted camera/videoMeasurement of particle size distributions in the discharges of cuttings and drilling mudComputer simulation of sea bed currents and sedimentation of discharged particlesAnalyses of particles from sediment traps and sea bottom core samples close to the drill site for verification of simulation models and evaluation of effects on coralsCamera observation of corals before and after the drilling operationRecovery of all cuttings (also from the top hole) to the rig for possible disposal away from corals.Our experience shows that technology is available to handle drill cuttings and mud and control the discharges and spreading to avoid harming corals and other sensitive resources. Keywords: coral location, drilling fluids and materials, discharge, simulation, rig, drilling fluid management &amp; disposal, particle size distribution, sedimentation, operation, norwegian sea Subjects: Drilling Fluids and Materials, Strategic Planning and Management, Drilling fluid management &amp; disposal, Cuttings transport, Exploration and appraisal strategies Copyright 2010, Society of Petroleum Engineers You can access this article if you purchase or spend a download.</x:v>
      </x:c>
      <x:c r="K165" s="11" t="str">
        <x:v>NO</x:v>
      </x:c>
      <x:c r="L165" s="7" t="str">
        <x:v>NOT_CONFIRMED</x:v>
      </x:c>
      <x:c r="M165" s="7" t="str"/>
      <x:c r="N165" s="7" t="str">
        <x:v>VERIFIED_DOI_DOCUMENT</x:v>
      </x:c>
      <x:c r="O165" s="7" t="str">
        <x:v>B01_DEEP_COLD_SEDIMENT_EVIDENCE</x:v>
      </x:c>
      <x:c r="P165" s="11" t="str">
        <x:v>HIGH</x:v>
      </x:c>
      <x:c r="Q165" s="7" t="str">
        <x:v>Cold-water corals: Lophelia pertusa and Paragorgia arborea in the Norwegian Sea.</x:v>
      </x:c>
      <x:c r="R165" s="7" t="str">
        <x:v>Explicit sediment pathway from drilling activities: drill cuttings and drilling mud, including particle sedimentation and potential chemical exposure; physical damage from anchor lines is secondary.</x:v>
      </x:c>
      <x:c r="S165" s="7" t="str">
        <x:v>Monitoring and assessment: coral mapping, before/after drilling camera observations, particle size distribution measurements, simulation of sedimentation, sediment trap and core sample analyses to evaluate effects on corals, and mitigation measures to avoid harm.</x:v>
      </x:c>
      <x:c r="T165" s="7" t="str">
        <x:v>B01: This conference paper directly addresses sediment-related effects (drill cuttings and mud) on deep/cold-water corals, providing monitoring and impact assessment evidence.</x:v>
      </x:c>
      <x:c r="U165" s="7" t="str">
        <x:v>This is a substantive SPE conference paper about potential harm from drill cuttings and drilling mud to cold-water corals (Lophelia pertusa, Paragorgia arborea). It describes efforts to map corals, study effects of sediment discharges, simulate particle sedimentation, and monitor corals before/after drilling, along with mitigation measures. This meets B01 as deep/cold sediment evidence with explicit sediment pathway and monitoring/impact context. It is not merely a discovery page or a study where sediment is incidental. B02 is less appropriate because it is a specific monitoring/assessment report rather than a broad review. Confidence is high based on the clear abstract content.</x:v>
      </x:c>
      <x:c r="V165" s="7" t="str">
        <x:v>ALL_VERIFIED_NON_TROPICAL_TIER_B_INCLUSIONS</x:v>
      </x:c>
      <x:c r="W165" s="7" t="str">
        <x:v>TBV1-0010</x:v>
      </x:c>
    </x:row>
    <x:row r="166" ht="42" customHeight="1">
      <x:c r="A166" s="14" t="str">
        <x:v>B</x:v>
      </x:c>
      <x:c r="B166" s="7" t="str">
        <x:v>CWC-0BE53F98D919</x:v>
      </x:c>
      <x:c r="C166" s="7" t="str">
        <x:v>Year-long benthic measurements of environmental conditions indicate high sponge biomass is related to strong bottom currents over the Northern Labrador shelf</x:v>
      </x:c>
      <x:c r="D166" s="7" t="str">
        <x:v>﻿Evert de Froe | Igor Yashayaev | Christian Mohn | Johanne Vad | Furu Mienis | Gerard Duineveld | Ellen Kenchington | Erica Head | Steve Ross | Sabena Blackbird | George A. Wolff | J. Murray Roberts | Barry MacDonald | Graham Tulloch | Dick van Oevelen</x:v>
      </x:c>
      <x:c r="E166" s="11" t="str">
        <x:v>2024</x:v>
      </x:c>
      <x:c r="F166" s="7" t="str"/>
      <x:c r="G166" s="7" t="str">
        <x:v>preprint</x:v>
      </x:c>
      <x:c r="H166" s="7" t="str">
        <x:v>10.31223/x58968</x:v>
      </x:c>
      <x:c r="I166" s="7" t="str">
        <x:v>https://doi.org/10.31223/x58968</x:v>
      </x:c>
      <x:c r="J166" s="7" t="str">
        <x:v>Deep-sea sponge grounds are distributed globally and are considered hotspots of biological diversity and biogeochemical cycling. To date, little is known about the environmental constraints that control where deep-sea sponge grounds occur and what conditions allow high sponge biomass to develop in the deep sea. Here, we characterize oceanographic conditions at two contrasting high- and low-sponge-biomass sites off the northern Labrador Shelf in Canadian waters. Unique data for the region were collected by year-long benthic lander deployments equipped with current meters, turbidity and chlorophyll-a sensors, and sediment traps. Additionally, the regional oceanography was described by analysing vertical conductivity/salinity-temperature-depth (CTD) and Argo float profiles for the Northern Labrador Shelf from 2005 to 2022, including those from the CTD casts taken at the benthic lander stations. Benthic fauna stable isotopes were analysed to identify potential food sources. Our results revealed strong (0.26 ± 0.14 m s-1; mean ± SD) semidiurnal tidal currents at the high-sponge-biomass site, but twofold weaker currents (0.14 ± 0.08 m s-1; mean ± SD) at the low-sponge-biomass site. These tidal currents cause periodic temperature fluctuations, sediment resuspension, intense vertical flows across the slope, which during spring, contribute to transport of organic material to the seafloor during a diurnal tidal cycle. Periodic fluctuations in bottom water temperature confirm the amplified transport across the shelf break at the high-sponge-biomass site. The high-sponge-biomass area is situated where the Hudson Strait Ouflow, the Irminger Current, and the West Greenland Current converge, which could lead to downwelling. Bottom silicate concentrations were increased at the high-biomass sponge ground due to advection of silicate-rich bottom water from Baffin Bay. Finally, the arrival of chlorophyll-a rich material in spring at both the low- and high-sponge-biomass sites demonstrated tight benthic-pelagic coupling prior to the onset of stratification. Mass fluxes of trapped material were higher and consisted of less degraded material at the high-sponge-biomass site. Stable isotope signatures indicated that soft corals (Primnoa resedaeformis) fed on suspended particulate organic matter, while massive sponges (Geodia spp.) likely utilized additional food sources. Our results imply that benthic fauna at the high-sponge-biomass site benefit from strong tidal currents, which increases food supply, and favourable regional ocean currents that increase nutrient concentration in bottom waters.</x:v>
      </x:c>
      <x:c r="K166" s="11" t="str">
        <x:v>NO</x:v>
      </x:c>
      <x:c r="L166" s="7" t="str">
        <x:v>NOT_CONFIRMED</x:v>
      </x:c>
      <x:c r="M166" s="7" t="str"/>
      <x:c r="N166" s="7" t="str">
        <x:v>VERIFIED_DOI_DOCUMENT</x:v>
      </x:c>
      <x:c r="O166" s="7" t="str">
        <x:v>B01_DEEP_COLD_SEDIMENT_EVIDENCE</x:v>
      </x:c>
      <x:c r="P166" s="11" t="str">
        <x:v>HIGH</x:v>
      </x:c>
      <x:c r="Q166" s="7" t="str">
        <x:v>Deep-sea sponges (Geodia spp.) and soft corals (Primnoa resedaeformis) on the Northern Labrador Shelf.</x:v>
      </x:c>
      <x:c r="R166" s="7" t="str">
        <x:v>Sediment resuspension, turbidity, and bottom currents measured with benthic landers; sediment trap mass fluxes.</x:v>
      </x:c>
      <x:c r="S166" s="7" t="str">
        <x:v>High sponge biomass at site with strong tidal currents and sediment resuspension; potential food supply linkage; benthic-pelagic coupling.</x:v>
      </x:c>
      <x:c r="T166" s="7" t="str">
        <x:v>B01: Deep-sea cold-water sponge source with explicit sediment/turbidity/resuspension pathway and ecological condition evidence (biomass, food supply).</x:v>
      </x:c>
      <x:c r="U166" s="7" t="str">
        <x:v>This preprint directly characterizes environmental conditions at deep-sea sponge grounds and includes year-long measurements of turbidity and sediment traps, identifying sediment resuspension driven by tidal currents as one of the physical processes. It relates these conditions to sponge biomass, with high-biomass site experiencing stronger currents and greater resuspension, thus providing ecological condition evidence for a sediment-related pathway. Although the paper emphasizes food supply rather than a localized sediment stressor, the explicit incorporation of turbidity and resuspension at a deep-sea sponge habitat meets the broader Tier B inclusion criteria. It is preferable to CHAIN_ONLY because the abstract itself contains relevant target evidence, and to EXCLUDE because it provides biological condition data tied to sediment dynamics, not merely physical oceanography.</x:v>
      </x:c>
      <x:c r="V166" s="7" t="str">
        <x:v>ALL_VERIFIED_NON_TROPICAL_TIER_B_INCLUSIONS</x:v>
      </x:c>
      <x:c r="W166" s="7" t="str">
        <x:v>TBV1-0068</x:v>
      </x:c>
    </x:row>
    <x:row r="167" ht="42" customHeight="1">
      <x:c r="A167" s="14" t="str">
        <x:v>B</x:v>
      </x:c>
      <x:c r="B167" s="7" t="str">
        <x:v>CWC-A0EAE7DD2FA4</x:v>
      </x:c>
      <x:c r="C167" s="7" t="str">
        <x:v>Zero harmful impact from drilling discharges: Where are the limits?</x:v>
      </x:c>
      <x:c r="D167" s="7" t="str">
        <x:v>Ulf Moltu | Laurence Pinturier</x:v>
      </x:c>
      <x:c r="E167" s="11" t="str">
        <x:v>2008</x:v>
      </x:c>
      <x:c r="F167" s="7" t="str">
        <x:v>SPE International Conference on Health, Safety and Environment in Oil and Gas Exploration and Production</x:v>
      </x:c>
      <x:c r="G167" s="7" t="str">
        <x:v>conference-paper</x:v>
      </x:c>
      <x:c r="H167" s="7" t="str">
        <x:v>10.2118/111666-ms</x:v>
      </x:c>
      <x:c r="I167" s="7" t="str">
        <x:v>https://doi.org/10.2118/111666-ms</x:v>
      </x:c>
      <x:c r="J167" s="7" t="str">
        <x:v>Abstract Total E&amp;P Norge is an EMAS registered and ISO 14001 certified company. With a commitment to continuous improvement and minimizing footprint from activities, an internally defined zero harmful impact objective for the drilling of an exploration well in the Norwegian Sea was set. Deep water coral structuresi were identified in the vicinity of the well location driving the focus on potential physical impact in addition to chemical impacts on these structures and the sediment fauna. To verify if the objective is met, the environmental impact level on the marine environment associated with the drilling activities has to be assessed and the effects verified. Three hole sections were discharged and the effects associated with these discharges were investigated. Cuttings size distribution, chemicals composition of the mud, and volume discharged were collected during the drilling of these sections. These data was applied in a risk modelling tool developed within the joint industry project ERMSii providing estimation of risk associated with drilling discharges on the sea floor and in the water column. This model is still under qualification/verification and the presented drilling operation represented an excellent case study where the output of the model in term of risk for particles and chemicals can be tested towards field observations. Sea floor observations were performed before, during and after drilling operation in order to evaluate the extent of the cuttings deposition and dispersion. This paper discusses the risk associated with the chemicals and particles present in the mud, in the water column and in the sediment as estimated by the model. The cutting distribution simulated by the model is compared with observations of the sea floor. From these results and existing knowledge from monitoring and exposure studies, "zero harmful" impact level on sediment fauna, coral and water column is discussed. For the sediments impact from physical deposition and change in grain size were observed only in the close vicinity of the well. No chemical contamination could take place based on chemicals discharged and as modelled by the risk modelling tool. Impact to the water column was also considered insignificant and related to physical impact from particles in upper part of the water column and only in the close vicinity of the discharge. Also for the water column no chemical contamination could take place based on chemicals discharged and as confirmed by the risk modelling performed. The conclusion from this study is that the objective was met. The paper proposes that physical impact is considered acceptable within certain distance from the well bore location. The size for such an area should be decided upon based on a case by case evaluation depending upon the extent of the drilling activity and the area.</x:v>
      </x:c>
      <x:c r="K167" s="11" t="str">
        <x:v>NO</x:v>
      </x:c>
      <x:c r="L167" s="7" t="str">
        <x:v>NOT_CONFIRMED</x:v>
      </x:c>
      <x:c r="M167" s="7" t="str"/>
      <x:c r="N167" s="7" t="str">
        <x:v>VERIFIED_DOI_DOCUMENT</x:v>
      </x:c>
      <x:c r="O167" s="7" t="str">
        <x:v>B01_DEEP_COLD_SEDIMENT_EVIDENCE</x:v>
      </x:c>
      <x:c r="P167" s="11" t="str">
        <x:v>HIGH</x:v>
      </x:c>
      <x:c r="Q167" s="7" t="str">
        <x:v>Deep-water coral structures in the Norwegian Sea; sediment fauna as associated benthic organisms.</x:v>
      </x:c>
      <x:c r="R167" s="7" t="str">
        <x:v>Drilling discharges: cuttings, particles, and drilling mud chemicals; physical deposition and dispersion; risk modelled for water column and sea floor.</x:v>
      </x:c>
      <x:c r="S167" s="7" t="str">
        <x:v>Environmental impact assessment and field observations before, during and after drilling; monitoring of cuttings deposition; discussion of 'zero harmful' impact level for sediment fauna, coral, and water column; proposal of acceptable physical impact distance from well.</x:v>
      </x:c>
      <x:c r="T167" s="7" t="str">
        <x:v>Meets B01 because it provides explicit deep/cold-water coral and sediment fauna impact evidence from drilling discharges, including particle/cuttings physical effects and monitoring/risk assessment.</x:v>
      </x:c>
      <x:c r="U167" s="7" t="str">
        <x:v>This conference paper directly addresses deep-water coral structures and sediment fauna in the Norwegian Sea in the context of drilling discharges, explicitly evaluating cuttings size distribution, deposition, dispersion, and physical impact. It includes field observations before/during/after drilling and risk modelling, discussing 'zero harmful' impact levels for corals and sediment. This provides explicit sediment-pathway impact evidence for cold-water corals, satisfying B01. Chosen over B02 because it is a primary assessment/monitoring study rather than a review or regulatory document. Chosen over EXCLUDE because sediment and coral response evidence are central.</x:v>
      </x:c>
      <x:c r="V167" s="7" t="str">
        <x:v>ALL_VERIFIED_NON_TROPICAL_TIER_B_INCLUSIONS</x:v>
      </x:c>
      <x:c r="W167" s="7" t="str">
        <x:v>TBV1-0049</x:v>
      </x:c>
    </x:row>
  </x:sheetData>
  <x:conditionalFormatting sqref="K2:K167">
    <x:cfRule type="containsText" dxfId="2" priority="1" operator="containsText" text="YES"/>
  </x:conditionalFormatting>
  <x:conditionalFormatting sqref="O2:O167">
    <x:cfRule type="beginsWith" dxfId="3" priority="2" operator="beginsWith" text="B04"/>
  </x:conditionalFormatting>
  <x:pageMargins left="0.7" right="0.7" top="0.75" bottom="0.75" header="0.3" footer="0.3"/>
  <x:tableParts count="1">
    <x:tablePart xmlns:r="http://schemas.openxmlformats.org/officeDocument/2006/relationships" r:id="R6ac8fd9cce164c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48" hidden="0" customWidth="1"/>
    <x:col min="4" max="4" width="42" hidden="0" customWidth="1"/>
    <x:col min="5" max="5" width="9" hidden="0" customWidth="1"/>
    <x:col min="6" max="6" width="30" hidden="0" customWidth="1"/>
    <x:col min="7" max="7" width="20" hidden="0" customWidth="1"/>
    <x:col min="8" max="8" width="26" hidden="0" customWidth="1"/>
    <x:col min="9" max="9" width="38" hidden="0" customWidth="1"/>
    <x:col min="10" max="10" width="68" hidden="0" customWidth="1"/>
    <x:col min="11" max="11" width="10" hidden="0" customWidth="1"/>
    <x:col min="12" max="12" width="20" hidden="0" customWidth="1"/>
    <x:col min="13" max="13" width="38" hidden="0" customWidth="1"/>
    <x:col min="14" max="14" width="30" hidden="0" customWidth="1"/>
    <x:col min="15" max="15" width="34" hidden="0" customWidth="1"/>
    <x:col min="16" max="16" width="14" hidden="0" customWidth="1"/>
    <x:col min="17" max="17" width="48" hidden="0" customWidth="1"/>
    <x:col min="18" max="18" width="48" hidden="0" customWidth="1"/>
    <x:col min="19" max="19" width="48" hidden="0" customWidth="1"/>
    <x:col min="20" max="20" width="52" hidden="0" customWidth="1"/>
    <x:col min="21" max="21" width="58" hidden="0" customWidth="1"/>
    <x:col min="22" max="22" width="42" hidden="0" customWidth="1"/>
    <x:col min="23" max="23" width="16" hidden="0" customWidth="1"/>
  </x:cols>
  <x:sheetData>
    <x:row r="1" ht="34" customHeight="1">
      <x:c r="A1" s="6" t="str">
        <x:v>evidence_tier</x:v>
      </x:c>
      <x:c r="B1" s="6" t="str">
        <x:v>corpus_id</x:v>
      </x:c>
      <x:c r="C1" s="6" t="str">
        <x:v>title</x:v>
      </x:c>
      <x:c r="D1" s="6" t="str">
        <x:v>authors</x:v>
      </x:c>
      <x:c r="E1" s="6" t="str">
        <x:v>year</x:v>
      </x:c>
      <x:c r="F1" s="6" t="str">
        <x:v>source_title_or_issuer</x:v>
      </x:c>
      <x:c r="G1" s="6" t="str">
        <x:v>document_type</x:v>
      </x:c>
      <x:c r="H1" s="6" t="str">
        <x:v>doi</x:v>
      </x:c>
      <x:c r="I1" s="6" t="str">
        <x:v>url</x:v>
      </x:c>
      <x:c r="J1" s="6" t="str">
        <x:v>screening_text</x:v>
      </x:c>
      <x:c r="K1" s="6" t="str">
        <x:v>access</x:v>
      </x:c>
      <x:c r="L1" s="6" t="str">
        <x:v>access_type</x:v>
      </x:c>
      <x:c r="M1" s="6" t="str">
        <x:v>access_url</x:v>
      </x:c>
      <x:c r="N1" s="6" t="str">
        <x:v>document_verification_status</x:v>
      </x:c>
      <x:c r="O1" s="6" t="str">
        <x:v>tier_b_reason_code</x:v>
      </x:c>
      <x:c r="P1" s="6" t="str">
        <x:v>model_confidence</x:v>
      </x:c>
      <x:c r="Q1" s="6" t="str">
        <x:v>organism_evidence</x:v>
      </x:c>
      <x:c r="R1" s="6" t="str">
        <x:v>stressor_evidence</x:v>
      </x:c>
      <x:c r="S1" s="6" t="str">
        <x:v>response_or_assessment_evidence</x:v>
      </x:c>
      <x:c r="T1" s="6" t="str">
        <x:v>tier_b_basis</x:v>
      </x:c>
      <x:c r="U1" s="6" t="str">
        <x:v>model_rationale</x:v>
      </x:c>
      <x:c r="V1" s="6" t="str">
        <x:v>selection_basis</x:v>
      </x:c>
      <x:c r="W1" s="6" t="str">
        <x:v>source_record_id</x:v>
      </x:c>
    </x:row>
    <x:row r="2" ht="42" customHeight="1">
      <x:c r="A2" s="17" t="str">
        <x:v>A</x:v>
      </x:c>
      <x:c r="B2" s="7" t="str">
        <x:v>CWC-59CF454EFFD7</x:v>
      </x:c>
      <x:c r="C2" s="7" t="str">
        <x:v>Respiratory responses of three Antarctic ascidians and a sea pen to increased sediment concentrations</x:v>
      </x:c>
      <x:c r="D2" s="7" t="str">
        <x:v>Luciana Torre | Natalia Servetto | Matias Leonel Eöry | Fernando Momo | Marcos Tatián | Doris Abele | Ricardo Sahade</x:v>
      </x:c>
      <x:c r="E2" s="11" t="str">
        <x:v>2012</x:v>
      </x:c>
      <x:c r="F2" s="7" t="str">
        <x:v>Polar Biology</x:v>
      </x:c>
      <x:c r="G2" s="7" t="str">
        <x:v>article</x:v>
      </x:c>
      <x:c r="H2" s="7" t="str">
        <x:v>10.1007/s00300-012-1208-1</x:v>
      </x:c>
      <x:c r="I2" s="7" t="str">
        <x:v>https://doi.org/10.1007/s00300-012-1208-1</x:v>
      </x:c>
      <x:c r="J2" s="7" t="str">
        <x:v>Glacial retreat and subglacial bedrock erosion are consequences of rapid regional warming on the West Antarctic Peninsula. Sedimentation of fine-grained eroded particles can impact the physiology of filter-feeding benthic organisms. We investigated the effect of increasing concentrations of sediment on the oxygen consumption of suspension feeding species, the ascidians Molgula pedunculata, Cnemidocarpa verrucosa, Ascidia challengeri, and the pennatulid Malacobelemnon daytoni in Potter Cove (South Shetland Islands, Antarctica). In A. challengeri and C. verrucosa, oxygen consumption increased gradually up to a critical sediment concentration (C (crit)) where species oxygen consumption was maximal (O (max) in mg O-2 g(-1)dm day(-1)) and further addition of sediments decreased respiration. C (crit) was 200 mg L-1 for A. challengeri (O (max) of 0.651 +/- A 0.238) and between 100 and 200 mg L-1 for C. verrucosa (O (max) of 0.898 +/- A 0.582). Oxygen consumption of M. pedunculata increased significantly even at low sediment concentrations (15-50 mg sediment L-1). Contrary to the ascidians, sediment exposure did not affect oxygen consumption of the sea pen. The tiered response to sedimentation in the four species corroborates recent field observations that detected a reduction in the abundance of the sensitive ascidian M. pedunculata from areas strongly affected by glacial sediment discharge, whereas sea pens are increasing in abundance. Our investigation relates consequences (population shifts in filter-feeder communities) to causes (glacial retreat) and is of importance for modelling of climate change effects in Antarctic shallow coastal areas.</x:v>
      </x:c>
      <x:c r="K2" s="11" t="str">
        <x:v>NO</x:v>
      </x:c>
      <x:c r="L2" s="7" t="str">
        <x:v>NOT_CONFIRMED</x:v>
      </x:c>
      <x:c r="M2" s="7" t="str"/>
      <x:c r="N2" s="7" t="str">
        <x:v>VERIFIED_BIBLIOGRAPHIC_DOCUMENT</x:v>
      </x:c>
      <x:c r="O2" s="7" t="str"/>
      <x:c r="P2" s="11" t="str"/>
      <x:c r="Q2" s="7" t="str"/>
      <x:c r="R2" s="7" t="str"/>
      <x:c r="S2" s="7" t="str"/>
      <x:c r="T2" s="7" t="str"/>
      <x:c r="U2" s="7" t="str"/>
      <x:c r="V2" s="7" t="str">
        <x:v>PRODUCTION_CORE_INCLUDE</x:v>
      </x:c>
      <x:c r="W2" s="7" t="str">
        <x:v>PROD-00002</x:v>
      </x:c>
    </x:row>
    <x:row r="3" ht="42" customHeight="1">
      <x:c r="A3" s="17" t="str">
        <x:v>A</x:v>
      </x:c>
      <x:c r="B3" s="7" t="str">
        <x:v>CWC-85AD31107177</x:v>
      </x:c>
      <x:c r="C3" s="7" t="str">
        <x:v>Mutualism between the antipatharian Antipathes fiordensis and the ophiuroid Astrobrachion constrictum in New Zealand fjords</x:v>
      </x:c>
      <x:c r="D3" s="7" t="str">
        <x:v>K. R. Grange</x:v>
      </x:c>
      <x:c r="E3" s="11" t="str">
        <x:v>1991</x:v>
      </x:c>
      <x:c r="F3" s="7" t="str">
        <x:v>Hydrobiologia</x:v>
      </x:c>
      <x:c r="G3" s="7" t="str">
        <x:v>article</x:v>
      </x:c>
      <x:c r="H3" s="7" t="str">
        <x:v>10.1007/bf00026478</x:v>
      </x:c>
      <x:c r="I3" s="7" t="str">
        <x:v>https://doi.org/10.1007/bf00026478</x:v>
      </x:c>
      <x:c r="J3" s="7" t="str">
        <x:v>A large and accessible population of the antipatharian Antipathes fiordensis occurs in the fjords of southern New Zealand. Many colonies support specimens of the perching asteroschematid ophiuroid, Astrobrachion constrictum, some of which have been observed in situ for over 5 y. Adult A. constrictum are restricted to A. fiordensis, and have never been found on any other organism. In situ experiments have shown that A. constrictum feeds at night, primarily on mucus produced by A. fiordensis polyps, but also on planktonic prey captured by the antipatharian's nematocysts. Feeding movements of the ophiuroid arms clear the antipatharian colony of suspended material that might smother the polyps. Observations following natural catastrophic events and transplant experiments have shown that survival of A. fiordensis is probably increased if A. constrictum is present.</x:v>
      </x:c>
      <x:c r="K3" s="11" t="str">
        <x:v>NO</x:v>
      </x:c>
      <x:c r="L3" s="7" t="str">
        <x:v>NOT_CONFIRMED</x:v>
      </x:c>
      <x:c r="M3" s="7" t="str"/>
      <x:c r="N3" s="7" t="str">
        <x:v>VERIFIED_BIBLIOGRAPHIC_DOCUMENT</x:v>
      </x:c>
      <x:c r="O3" s="7" t="str"/>
      <x:c r="P3" s="11" t="str"/>
      <x:c r="Q3" s="7" t="str"/>
      <x:c r="R3" s="7" t="str"/>
      <x:c r="S3" s="7" t="str"/>
      <x:c r="T3" s="7" t="str"/>
      <x:c r="U3" s="7" t="str"/>
      <x:c r="V3" s="7" t="str">
        <x:v>PRODUCTION_CORE_INCLUDE</x:v>
      </x:c>
      <x:c r="W3" s="7" t="str">
        <x:v>PROD-00018</x:v>
      </x:c>
    </x:row>
    <x:row r="4" ht="42" customHeight="1">
      <x:c r="A4" s="17" t="str">
        <x:v>A</x:v>
      </x:c>
      <x:c r="B4" s="7" t="str">
        <x:v>CWC-C1B7BB939BE8</x:v>
      </x:c>
      <x:c r="C4" s="7" t="str">
        <x:v>Identification of tolerance levels on the cold-water coral Desmophyllum pertusum (Lophelia pertusa) from realistic exposure conditions to suspended bentonite, barite and drill cutting particles</x:v>
      </x:c>
      <x:c r="D4" s="7" t="str">
        <x:v>Thierry Baussant | Maj Arnberg | Emily Lyng | Sreerekha Ramanand | Shaw Bamber | Mark Berry | Ingrid Myrnes Hansen | Dick van Oevelen | Peter van Breugel</x:v>
      </x:c>
      <x:c r="E4" s="11" t="str">
        <x:v>2022</x:v>
      </x:c>
      <x:c r="F4" s="7" t="str">
        <x:v>PLoS ONE</x:v>
      </x:c>
      <x:c r="G4" s="7" t="str">
        <x:v>article</x:v>
      </x:c>
      <x:c r="H4" s="7" t="str">
        <x:v>10.1371/journal.pone.0263061</x:v>
      </x:c>
      <x:c r="I4" s="7" t="str">
        <x:v>https://doi.org/10.1371/journal.pone.0263061</x:v>
      </x:c>
      <x:c r="J4" s="7" t="str">
        <x:v>Cold-water coral (CWC) reefs are numerous and widespread along the Norwegian continental shelf where oil and gas industry operate. Uncertainties exist regarding their impacts from operational discharges to drilling. Effect thresholds obtained from near-realistic exposure of suspended particle concentrations for use in coral risk modeling are particularly needed. Here, nubbins of Desmophyllum pertusum (Lophelia pertusa) were exposed shortly (5 days, 4h repeated pulses) to suspended particles (bentonite BE; barite BA, and drill cuttings DC) in the range of similar to 4 to similar to 60 mg.l(-1) (actual concentration). Physiological responses (respiration rate, growth rate, mucus-related particulate organic carbon OC and particulate organic nitrogen ON) and polyp mortality were then measured 2 and 6 weeks post-exposure to assess long-term effects. Respiration and growth rates were not significantly different in any of the treatments tested compared to control. OC production was not affected in any treatment, but a significant increase of OC:ON in mucus produced by BE-exposed (23 and 48 mg.l(-1)) corals was revealed 2 weeks after exposure. Polyp mortality increased significantly at the two highest DC doses (19 and 49 mg.l(-1)) 2 and 6 weeks post-exposure but no significant difference was observed in any of the other treatments compared to the control. These findings are adding new knowledge on coral resilience to short realistic exposure of suspended drill particles and indicate overall a risk for long-term effects at a threshold of similar to 20 mg.l(-1).</x:v>
      </x:c>
      <x:c r="K4" s="11" t="str">
        <x:v>YES</x:v>
      </x:c>
      <x:c r="L4" s="7" t="str">
        <x:v>FROZEN_PUBLIC_FULL_TEXT_LOCATION</x:v>
      </x:c>
      <x:c r="M4" s="7" t="str">
        <x:v>https://journals.plos.org/plosone/article/file?id=10.1371/journal.pone.0263061&amp;type=printable</x:v>
      </x:c>
      <x:c r="N4" s="7" t="str">
        <x:v>VERIFIED_BIBLIOGRAPHIC_DOCUMENT</x:v>
      </x:c>
      <x:c r="O4" s="7" t="str"/>
      <x:c r="P4" s="11" t="str"/>
      <x:c r="Q4" s="7" t="str"/>
      <x:c r="R4" s="7" t="str"/>
      <x:c r="S4" s="7" t="str"/>
      <x:c r="T4" s="7" t="str"/>
      <x:c r="U4" s="7" t="str"/>
      <x:c r="V4" s="7" t="str">
        <x:v>PRODUCTION_CORE_INCLUDE</x:v>
      </x:c>
      <x:c r="W4" s="7" t="str">
        <x:v>PROD-00027</x:v>
      </x:c>
    </x:row>
    <x:row r="5" ht="42" customHeight="1">
      <x:c r="A5" s="17" t="str">
        <x:v>A</x:v>
      </x:c>
      <x:c r="B5" s="7" t="str">
        <x:v>CWC-C69AD807E3BA</x:v>
      </x:c>
      <x:c r="C5" s="7" t="str">
        <x:v>Tolerance to long-term exposure of suspended benthic sediments and drill cuttings in the cold-water coral Lophelia pertusa</x:v>
      </x:c>
      <x:c r="D5" s="7" t="str">
        <x:v>Ann I. Larsson | Dick van Oevelen | Autun Purser | Laurenz Thomsen</x:v>
      </x:c>
      <x:c r="E5" s="11" t="str">
        <x:v>2013</x:v>
      </x:c>
      <x:c r="F5" s="7" t="str">
        <x:v>Marine Pollution Bulletin</x:v>
      </x:c>
      <x:c r="G5" s="7" t="str">
        <x:v>article</x:v>
      </x:c>
      <x:c r="H5" s="7" t="str">
        <x:v>10.1016/j.marpolbul.2013.02.033</x:v>
      </x:c>
      <x:c r="I5" s="7" t="str">
        <x:v>https://doi.org/10.1016/j.marpolbul.2013.02.033</x:v>
      </x:c>
      <x:c r="J5" s="7" t="str">
        <x:v>The cold-water coral Lophelia pertusa was exposed to suspended particles (&lt;63 mu m) for 12 weeks. Skeletal growth was significantly lower under exposure concentrations of similar to 25 mg l(-1) than similar to 5 mg l(-1) and there was a trend of lower growth rates when exposed to water-based drill cuttings than to natural benthic sediment. Polyp extension was less in corals exposed to higher material concentrations, which provides a possible explanation for observed skeletal growth differences between particle concentrations. Particle exposure had no significant impact on respiration or proportions of tissue and fatty acids in corals. The volume of additional cleaning mucus released by exposed corals was low and release did not significantly affect coral energy expenditure. Our results indicate that L. pertusa polyps can deal comparatively well with enhanced particle deposition rates and suspended matter concentrations. However, a small pilot experiment indicated that coral larvae might be particularly vulnerable to high particle concentrations. (c) 2013 Elsevier Ltd. All rights reserved.</x:v>
      </x:c>
      <x:c r="K5" s="11" t="str">
        <x:v>NO</x:v>
      </x:c>
      <x:c r="L5" s="7" t="str">
        <x:v>NOT_CONFIRMED</x:v>
      </x:c>
      <x:c r="M5" s="7" t="str"/>
      <x:c r="N5" s="7" t="str">
        <x:v>VERIFIED_BIBLIOGRAPHIC_DOCUMENT</x:v>
      </x:c>
      <x:c r="O5" s="7" t="str"/>
      <x:c r="P5" s="11" t="str"/>
      <x:c r="Q5" s="7" t="str"/>
      <x:c r="R5" s="7" t="str"/>
      <x:c r="S5" s="7" t="str"/>
      <x:c r="T5" s="7" t="str"/>
      <x:c r="U5" s="7" t="str"/>
      <x:c r="V5" s="7" t="str">
        <x:v>PRODUCTION_CORE_INCLUDE</x:v>
      </x:c>
      <x:c r="W5" s="7" t="str">
        <x:v>PROD-00028</x:v>
      </x:c>
    </x:row>
    <x:row r="6" ht="42" customHeight="1">
      <x:c r="A6" s="17" t="str">
        <x:v>A</x:v>
      </x:c>
      <x:c r="B6" s="7" t="str">
        <x:v>CWC-F69FB12668AB</x:v>
      </x:c>
      <x:c r="C6" s="7" t="str">
        <x:v>Direct Visualization of Mucus Production by the Cold-Water Coral Lophelia pertusa with Digital Holographic Microscopy</x:v>
      </x:c>
      <x:c r="D6" s="7" t="str">
        <x:v>Eva‐Maria Zetsche | Thierry Baussant | Filip J. R. Meysman | Dick van Oevelen</x:v>
      </x:c>
      <x:c r="E6" s="11" t="str">
        <x:v>2016</x:v>
      </x:c>
      <x:c r="F6" s="7" t="str">
        <x:v>PLoS ONE</x:v>
      </x:c>
      <x:c r="G6" s="7" t="str">
        <x:v>article</x:v>
      </x:c>
      <x:c r="H6" s="7" t="str">
        <x:v>10.1371/journal.pone.0146766</x:v>
      </x:c>
      <x:c r="I6" s="7" t="str">
        <x:v>https://doi.org/10.1371/journal.pone.0146766</x:v>
      </x:c>
      <x:c r="J6" s="7" t="str">
        <x:v>Lophelia pertusa is the dominant reef-building organism of cold-water coral reefs, and is known to produce significant amounts of mucus, which could involve an important metabolic cost. Mucus is involved in particle removal and feeding processes, yet the triggers and dynamics of mucus production are currently still poorly described because the existing tools to study these processes are not appropriate. Using a novel microscopic technique-digital holographic microscopy (DHM)-we studied the mucus release of L. pertusa under various experimental conditions. DHM technology permits mu m-scale observations and allows the visualization of transparent mucoid substances in real time without staining. Fragments of L. pertusa were first maintained in flow-through chambers without stressors and imaged with DHM, then exposed to various stressors (suspended particles, particulate food and air exposure) and re-imaged. Under non-stressed conditions no release of mucus was observed, whilst mucus strings and sheaths were produced in response to suspended particles (activated charcoal and drill cuttings sediment) i.e. in a stressed condition. Mucus strings and so-called 'string balls' were also observed in response to exposure to particulate food (brine shrimp Artemia salina). Upon air-exposure, mucus production was clearly visible once the fragments were returned to the flow chamber. Distinct optical properties such as optical path length difference (OPD) were measured with DHM in response to the various stimuli suggesting that different mucus types are produced by L. pertusa. Mucus produced to reject particles is similar in refractive index to the surrounding seawater, suggesting that the energy content of this mucus is low. In contrast, mucus produced in response to either food particle addition or air exposure had a higher refractive index, suggesting a higher metabolic investment in the production of these mucoid substances. This paper shows for the first time the potential of DHM technology for the detection, characterization and quantification of mucus production through OPD measurements in L. pertusa.</x:v>
      </x:c>
      <x:c r="K6" s="11" t="str">
        <x:v>YES</x:v>
      </x:c>
      <x:c r="L6" s="7" t="str">
        <x:v>FROZEN_PUBLIC_FULL_TEXT_LOCATION</x:v>
      </x:c>
      <x:c r="M6" s="7" t="str">
        <x:v>https://journals.plos.org/plosone/article/file?id=10.1371/journal.pone.0146766&amp;type=printable</x:v>
      </x:c>
      <x:c r="N6" s="7" t="str">
        <x:v>VERIFIED_BIBLIOGRAPHIC_DOCUMENT</x:v>
      </x:c>
      <x:c r="O6" s="7" t="str"/>
      <x:c r="P6" s="11" t="str"/>
      <x:c r="Q6" s="7" t="str"/>
      <x:c r="R6" s="7" t="str"/>
      <x:c r="S6" s="7" t="str"/>
      <x:c r="T6" s="7" t="str"/>
      <x:c r="U6" s="7" t="str"/>
      <x:c r="V6" s="7" t="str">
        <x:v>PRODUCTION_CORE_INCLUDE</x:v>
      </x:c>
      <x:c r="W6" s="7" t="str">
        <x:v>PROD-00029</x:v>
      </x:c>
    </x:row>
    <x:row r="7" ht="42" customHeight="1">
      <x:c r="A7" s="17" t="str">
        <x:v>A</x:v>
      </x:c>
      <x:c r="B7" s="7" t="str">
        <x:v>CWC-7A3BE9870A2A</x:v>
      </x:c>
      <x:c r="C7" s="7" t="str">
        <x:v>Sedimentation on the cold-water coral Lophelia pertusa: Cleaning efficiency from natural sediments and drill cuttings</x:v>
      </x:c>
      <x:c r="D7" s="7" t="str">
        <x:v>Ann I. Larsson | Autun Purser</x:v>
      </x:c>
      <x:c r="E7" s="11" t="str">
        <x:v>2011</x:v>
      </x:c>
      <x:c r="F7" s="7" t="str">
        <x:v>Marine Pollution Bulletin</x:v>
      </x:c>
      <x:c r="G7" s="7" t="str">
        <x:v>article</x:v>
      </x:c>
      <x:c r="H7" s="7" t="str">
        <x:v>10.1016/j.marpolbul.2011.03.041</x:v>
      </x:c>
      <x:c r="I7" s="7" t="str">
        <x:v>https://doi.org/10.1016/j.marpolbul.2011.03.041</x:v>
      </x:c>
      <x:c r="J7" s="7" t="str">
        <x:v>Anthropogenic threats to cold-water coral reefs are trawling and hydrocarbon drilling, with both activities causing increased levels of suspended particles. The efficiency of Lophelia pertusa in rejecting local sediments and drill cuttings from the coral surface was evaluated and found not to differ between sediment types. Further results showed that the coral efficiently removed deposited material even after repeated exposures, indicating an efficient cleaning mechanism. In an experiment focusing on burial, fine-fraction drill cuttings were deposited on corals over time. Drill cutting covered coral area increased with repeated depositions, with accumulation mainly occurring on and adjacent to regions of the coral skeleton lacking tissue cover. Tissue was smothered and polyp mortality occurred where polyps became wholly covered by material. Burial of coral by drill cuttings to the current threshold level used in environmental risk assessment models by the offshore industry (6.3 mm) may result in damage to L pertusa colonies. (C) 2011 Elsevier Ltd. All rights reserved.</x:v>
      </x:c>
      <x:c r="K7" s="11" t="str">
        <x:v>NO</x:v>
      </x:c>
      <x:c r="L7" s="7" t="str">
        <x:v>NOT_CONFIRMED</x:v>
      </x:c>
      <x:c r="M7" s="7" t="str"/>
      <x:c r="N7" s="7" t="str">
        <x:v>VERIFIED_BIBLIOGRAPHIC_DOCUMENT</x:v>
      </x:c>
      <x:c r="O7" s="7" t="str"/>
      <x:c r="P7" s="11" t="str"/>
      <x:c r="Q7" s="7" t="str"/>
      <x:c r="R7" s="7" t="str"/>
      <x:c r="S7" s="7" t="str"/>
      <x:c r="T7" s="7" t="str"/>
      <x:c r="U7" s="7" t="str"/>
      <x:c r="V7" s="7" t="str">
        <x:v>PRODUCTION_CORE_INCLUDE</x:v>
      </x:c>
      <x:c r="W7" s="7" t="str">
        <x:v>PROD-00032</x:v>
      </x:c>
    </x:row>
    <x:row r="8" ht="42" customHeight="1">
      <x:c r="A8" s="17" t="str">
        <x:v>A</x:v>
      </x:c>
      <x:c r="B8" s="7" t="str">
        <x:v>CWC-EDB1480675F9</x:v>
      </x:c>
      <x:c r="C8" s="7" t="str">
        <x:v>Effects and recovery of larvae of the cold-water coral Lophelia pertusa (Desmophyllum pertusum) exposed to suspended bentonite, barite and drill cuttings</x:v>
      </x:c>
      <x:c r="D8" s="7" t="str">
        <x:v>Johanna Järnegren | Sandra Brooke | Henrik Jensen</x:v>
      </x:c>
      <x:c r="E8" s="11" t="str">
        <x:v>2020</x:v>
      </x:c>
      <x:c r="F8" s="7" t="str">
        <x:v>Marine Environmental Research</x:v>
      </x:c>
      <x:c r="G8" s="7" t="str">
        <x:v>article</x:v>
      </x:c>
      <x:c r="H8" s="7" t="str">
        <x:v>10.1016/j.marenvres.2020.104996</x:v>
      </x:c>
      <x:c r="I8" s="7" t="str">
        <x:v>https://doi.org/10.1016/j.marenvres.2020.104996</x:v>
      </x:c>
      <x:c r="J8" s="7" t="str">
        <x:v>Fossil fuel drilling operations create sediment plumes and release waste materials into the ocean. These operations sometimes occur close to sensitive marine ecosystems, such as cold-water corals. While there have been several studies on the effects of energy industry activities on adult corals, there is very little information on potential impacts to their early life history stages. Larval stages of many marine organisms, including cold-water corals use cilia as a means of feeding and swimming, and if these structures become clogged with suspended particulates, the larvae may sink and be lost to the system. The objective of this study was to understand the response of Lophelia pertusa larvae to a different drilling waste components, and assess post-exposure recovery. Larvae of two ages (eight and 21 days) were exposed to a range of concentrations of bentonite, barite and drill cuttings. Larval sensitivity was assessed using the concentration at which 50% of the larvae showed behavioral effects (EC50) or lethal effects (LC50). Larvae showed greatest sensitivity to bentonite, followed by barite and drill cuttings, and also showed age-related responses that differed among the test materials. Post exposure recovery was variable across materials, with larvae exposed to bentonite having the lowest recovery rates. Understanding the vulnerability of early life history stages to human activities can help inform management strategies to preserve reproductive capacity of important marine ecosystems.</x:v>
      </x:c>
      <x:c r="K8" s="11" t="str">
        <x:v>YES</x:v>
      </x:c>
      <x:c r="L8" s="7" t="str">
        <x:v>FROZEN_PUBLIC_FULL_TEXT_LOCATION</x:v>
      </x:c>
      <x:c r="M8" s="7" t="str">
        <x:v>https://www.sciencedirect.com/science/article/pii/S0141113619307913/pdf</x:v>
      </x:c>
      <x:c r="N8" s="7" t="str">
        <x:v>VERIFIED_BIBLIOGRAPHIC_DOCUMENT</x:v>
      </x:c>
      <x:c r="O8" s="7" t="str"/>
      <x:c r="P8" s="11" t="str"/>
      <x:c r="Q8" s="7" t="str"/>
      <x:c r="R8" s="7" t="str"/>
      <x:c r="S8" s="7" t="str"/>
      <x:c r="T8" s="7" t="str"/>
      <x:c r="U8" s="7" t="str"/>
      <x:c r="V8" s="7" t="str">
        <x:v>PRODUCTION_CORE_INCLUDE</x:v>
      </x:c>
      <x:c r="W8" s="7" t="str">
        <x:v>PROD-00034</x:v>
      </x:c>
    </x:row>
    <x:row r="9" ht="42" customHeight="1">
      <x:c r="A9" s="17" t="str">
        <x:v>A</x:v>
      </x:c>
      <x:c r="B9" s="7" t="str">
        <x:v>CWC-3143828C5285</x:v>
      </x:c>
      <x:c r="C9" s="7" t="str">
        <x:v>Mechanical and toxicological effects of deep-sea mining sediment plumes on a habitat-forming cold-water octocoral</x:v>
      </x:c>
      <x:c r="D9" s="7" t="str">
        <x:v>Marina Carreiro‐Silva | Inês Martins | Virginie Riou | Joana Raimundo | Miguel Caetano | Raúl Bettencourt | Maria Rakka | Teresa Cerqueira | António Godinho | Telmo Morato | Ana Colaço</x:v>
      </x:c>
      <x:c r="E9" s="11" t="str">
        <x:v>2022</x:v>
      </x:c>
      <x:c r="F9" s="7" t="str">
        <x:v>Frontiers in Marine Science</x:v>
      </x:c>
      <x:c r="G9" s="7" t="str">
        <x:v>article</x:v>
      </x:c>
      <x:c r="H9" s="7" t="str">
        <x:v>10.3389/fmars.2022.915650</x:v>
      </x:c>
      <x:c r="I9" s="7" t="str">
        <x:v>https://doi.org/10.3389/fmars.2022.915650</x:v>
      </x:c>
      <x:c r="J9" s="7" t="str">
        <x:v>Deep-sea mining activities are expected to impact deep-sea biota through the generation of sediment plumes that disperse across vast areas of the ocean. Benthic sessile suspension-feeding fauna, such as cold-water corals, may be particularly susceptible to increased suspended sediments. Here, we exposed the cold-water octocoral, Dentomuricea aff. meteor to suspended particles generated during potential mining activities in a four weeks experimental study. Corals were exposed to three experimental treatments: (1) control conditions (no added sediments); (2) suspended polymetallic sulphide (PMS) particles; (3) suspended quartz particles. The two particle treatments were designed to distinguish between potential mechanical and toxicological effects of mining particles. PMS particles were obtained by grinding PMS inactive chimney rocks collected at the hydrothermal vent field Lucky Strike. Both particle types were delivered at a concentration of 25 mg L -1 , but achieved suspended concentrations were 2-3 mg L -1 for the PMS and 15-18 mg L -1 for the quartz particles due to the different particle density. Results of the experiment revealed a significant increase in dissolved cobalt, copper and manganese concentrations in the PMS treatment, resulting from the oxidation of sulphides in contact with seawater. Negative effects of PMS exposure included a progressive loss in tissue condition with necrosis and bioaccumulation of copper in coral tissues and skeletons, and death of all coral fragments by the end of the experiment. Physiological changes under PMS exposure, included increased respiration and ammonia excretion rates in corals after 13 days of exposure, indicating physiological stress and potential metabolic exhaustion. Changes in the cellular stress biomarkers and gene expression profiles were more pronounced in corals exposed to quartz particles, suggesting that the mechanical effect of particles although not causing measurable changes in the physiological functions of the coral, can still be detrimental to corals by eliciting cellular stress and immune responses. We hypothesize that the high mortality of corals recorded in the PMS treatment may have resulted from the combined and potentially synergistic mechanical and toxicological effects of the PMS particles. Given the dispersal potential of mining plumes and the highly sensitive nature of octocorals, marine protected areas, buffer areas or non-mining areas may be necessary to protect deep-sea coral communities.</x:v>
      </x:c>
      <x:c r="K9" s="11" t="str">
        <x:v>YES</x:v>
      </x:c>
      <x:c r="L9" s="7" t="str">
        <x:v>FROZEN_PUBLIC_FULL_TEXT_LOCATION</x:v>
      </x:c>
      <x:c r="M9" s="7" t="str">
        <x:v>https://doi.org/10.3389/fmars.2022.915650</x:v>
      </x:c>
      <x:c r="N9" s="7" t="str">
        <x:v>VERIFIED_BIBLIOGRAPHIC_DOCUMENT</x:v>
      </x:c>
      <x:c r="O9" s="7" t="str"/>
      <x:c r="P9" s="11" t="str"/>
      <x:c r="Q9" s="7" t="str"/>
      <x:c r="R9" s="7" t="str"/>
      <x:c r="S9" s="7" t="str"/>
      <x:c r="T9" s="7" t="str"/>
      <x:c r="U9" s="7" t="str"/>
      <x:c r="V9" s="7" t="str">
        <x:v>PRODUCTION_CORE_INCLUDE</x:v>
      </x:c>
      <x:c r="W9" s="7" t="str">
        <x:v>PROD-00046</x:v>
      </x:c>
    </x:row>
    <x:row r="10" ht="42" customHeight="1">
      <x:c r="A10" s="17" t="str">
        <x:v>A</x:v>
      </x:c>
      <x:c r="B10" s="7" t="str">
        <x:v>CWC-65CF36C85E16</x:v>
      </x:c>
      <x:c r="C10" s="7" t="str">
        <x:v>Effects of drill cuttings on larvae of the cold-water coral Lophelia pertusa</x:v>
      </x:c>
      <x:c r="D10" s="7" t="str">
        <x:v>Johanna Järnegren | Sandra Brooke | Henrik Jensen</x:v>
      </x:c>
      <x:c r="E10" s="11" t="str">
        <x:v>2016</x:v>
      </x:c>
      <x:c r="F10" s="7" t="str">
        <x:v>Deep Sea Research Part II Topical Studies in Oceanography</x:v>
      </x:c>
      <x:c r="G10" s="7" t="str">
        <x:v>article</x:v>
      </x:c>
      <x:c r="H10" s="7" t="str">
        <x:v>10.1016/j.dsr2.2016.06.014</x:v>
      </x:c>
      <x:c r="I10" s="7" t="str">
        <x:v>https://doi.org/10.1016/j.dsr2.2016.06.014</x:v>
      </x:c>
      <x:c r="J10" s="7" t="str">
        <x:v>Fossil fuel consumption is predicted to dominate energy needs until at least 2040. To make up for reduced production from maturing fields, oil and gas exploration activities on the Norwegian continental shelf have greatly increased over the past several years. Strict emission controls have resulted in a substantial reduction in the release of hazardous chemicals. However, because of the increased exploration the discharges of water-based drill cuttings and muds have increased substantially, temporarily increasing water column sediment loads. The stony coral Lophelia pertusa is the most widely distributed and well-studied of the structure forming cold water corals (CWC) and it thrives in Norwegian waters where many reefs are located in the vicinity of oil platforms or exploration areas. This species provides habitat for a diverse and abundant assemblage of invertebrates and fishes, including commercially valuable species. High sediment loads are known to negatively affect adult corals, but impacts on the early life history stages are unknown. We investigated the effects of a range of drill cutting concentrations (0.5-640 ppm) on larvae of L. pertusa at ages five days and 15-20 days. One set of experiments was conducted in static experimental chambers that exposed larvae to decreasing concentrations over time, and the other maintained continuous drill cutting concentrations for the duration of the experiment (24 h). Increased sediment load for a duration of 24 h caused significant larval mortality, but there was an age-dependent difference in sensitivity of larvae. Younger larvae were significantly more susceptible to lower concentrations of drill cuttings than older larvae, while the older larvae were significantly more affected at higher concentrations. Five day old larvae were affected at treatment concentration 40 ppm. The larval cilia became clogged, preventing the larvae from swimming actively and ultimately causing mortality. Larvae of many species use cilia for swimming and feeding, so negative impacts of increased sediment may not be limited to corals. (C) 2016 Elsevier Ltd. All rights reserved.</x:v>
      </x:c>
      <x:c r="K10" s="11" t="str">
        <x:v>NO</x:v>
      </x:c>
      <x:c r="L10" s="7" t="str">
        <x:v>NOT_CONFIRMED</x:v>
      </x:c>
      <x:c r="M10" s="7" t="str"/>
      <x:c r="N10" s="7" t="str">
        <x:v>VERIFIED_BIBLIOGRAPHIC_DOCUMENT</x:v>
      </x:c>
      <x:c r="O10" s="7" t="str"/>
      <x:c r="P10" s="11" t="str"/>
      <x:c r="Q10" s="7" t="str"/>
      <x:c r="R10" s="7" t="str"/>
      <x:c r="S10" s="7" t="str"/>
      <x:c r="T10" s="7" t="str"/>
      <x:c r="U10" s="7" t="str"/>
      <x:c r="V10" s="7" t="str">
        <x:v>PRODUCTION_CORE_INCLUDE</x:v>
      </x:c>
      <x:c r="W10" s="7" t="str">
        <x:v>PROD-00049</x:v>
      </x:c>
    </x:row>
    <x:row r="11" ht="42" customHeight="1">
      <x:c r="A11" s="17" t="str">
        <x:v>A</x:v>
      </x:c>
      <x:c r="B11" s="7" t="str">
        <x:v>CWC-B27727ED4386</x:v>
      </x:c>
      <x:c r="C11" s="7" t="str">
        <x:v>Effects of suspended drill cuttings on the coral Lophelia pertusa using pulsed and continuous exposure scenarios</x:v>
      </x:c>
      <x:c r="D11" s="7" t="str">
        <x:v>Thierry Baussant | Marianne Nilsen | Elisa Ravagnan | Stig Westerlund | Sreerekha Ramanand</x:v>
      </x:c>
      <x:c r="E11" s="11" t="str">
        <x:v>2018</x:v>
      </x:c>
      <x:c r="F11" s="7" t="str">
        <x:v>Journal of Toxicology and Environmental Health</x:v>
      </x:c>
      <x:c r="G11" s="7" t="str">
        <x:v>article</x:v>
      </x:c>
      <x:c r="H11" s="7" t="str">
        <x:v>10.1080/15287394.2018.1444375</x:v>
      </x:c>
      <x:c r="I11" s="7" t="str">
        <x:v>https://doi.org/10.1080/15287394.2018.1444375</x:v>
      </x:c>
      <x:c r="J11" s="7" t="str">
        <x:v>ABSTRACT This study aimed at providing confidence in the predictability of the impacts of drill cuttings (DC) discharge on the cold-water coral Lophelia pertusa. L. pertusa was exposed to DC from offshore exploration in the lab with the goal to assess precautionary thresholds of effects. Two exposure scenarios with DC were tested: a long-term (LT) pulsed exposure (12 weeks, peak concentrations: 2–50 mg/L, mean concentrations: 1–25 mg/L) and a short-term (ST) continuous exposure (2.5 weeks, mean concentrations: 4–42 mg/L). After exposure, a recovery period of 16 and 4 weeks was maintained in LT and ST, respectively. While there was an assumption that DC might result in an increase in respiration, decrease in growth, enhanced mucus production, reduced fatty acid content, only a significant rise was noted in skeleton growth at DC 4 mg/L and a significant increase of mucus particulate organic carbon at 25 mg/L at end of the exposure. DC did not markedly reduce prey capture rate consecutive to DC exposure. However, the effect of DC produced an increase of coral polyp activity during exposure and a return to pre-exposure conditions after cessation of DC, and coenosarc was smothered from DC even after a long recovery period (4 weeks). Overall, a DC concentration of 10 mg/L seems to represent a threshold above which changes in coral conditions were observed however with no apparent physiological consequences for the coral within the experimental time scale.</x:v>
      </x:c>
      <x:c r="K11" s="11" t="str">
        <x:v>YES</x:v>
      </x:c>
      <x:c r="L11" s="7" t="str">
        <x:v>FROZEN_PUBLIC_FULL_TEXT_LOCATION</x:v>
      </x:c>
      <x:c r="M11" s="7" t="str">
        <x:v>https://figshare.com/articles/journal_contribution/Effects_of_suspended_drill_cuttings_on_the_coral_i_Lophelia_pertusa_i_using_pulsed_and_continuous_exposure_scenarios/5984998</x:v>
      </x:c>
      <x:c r="N11" s="7" t="str">
        <x:v>VERIFIED_BIBLIOGRAPHIC_DOCUMENT</x:v>
      </x:c>
      <x:c r="O11" s="7" t="str"/>
      <x:c r="P11" s="11" t="str"/>
      <x:c r="Q11" s="7" t="str"/>
      <x:c r="R11" s="7" t="str"/>
      <x:c r="S11" s="7" t="str"/>
      <x:c r="T11" s="7" t="str"/>
      <x:c r="U11" s="7" t="str"/>
      <x:c r="V11" s="7" t="str">
        <x:v>PRODUCTION_CORE_INCLUDE</x:v>
      </x:c>
      <x:c r="W11" s="7" t="str">
        <x:v>PROD-00050</x:v>
      </x:c>
    </x:row>
    <x:row r="12" ht="42" customHeight="1">
      <x:c r="A12" s="17" t="str">
        <x:v>A</x:v>
      </x:c>
      <x:c r="B12" s="7" t="str">
        <x:v>CWC-F4145597F5EA</x:v>
      </x:c>
      <x:c r="C12" s="7" t="str">
        <x:v>Impacts of barite and bentonite sedimentation on the behaviour, mucus production and cnidocytes of the deep-sea coral Flabellum (Ulocyathus) alabastrum</x:v>
      </x:c>
      <x:c r="D12" s="7" t="str">
        <x:v>Kenneth A. Murray | Bárbara de Moura Neves | Jean-François Hamel | Johanne Vad | Vonda Hayes | Annie Mercier</x:v>
      </x:c>
      <x:c r="E12" s="11" t="str">
        <x:v>2025</x:v>
      </x:c>
      <x:c r="F12" s="7" t="str">
        <x:v>Deep Sea Research Part II Topical Studies in Oceanography</x:v>
      </x:c>
      <x:c r="G12" s="7" t="str">
        <x:v>article</x:v>
      </x:c>
      <x:c r="H12" s="7" t="str">
        <x:v>10.1016/j.dsr2.2025.105536</x:v>
      </x:c>
      <x:c r="I12" s="7" t="str">
        <x:v>https://doi.org/10.1016/j.dsr2.2025.105536</x:v>
      </x:c>
      <x:c r="J12" s="7" t="str">
        <x:v>As oil and gas exploration expands in deep-sea environments, understanding the impacts of wastes produced by this industry is urgent. One of the main wastes of offshore drilling is the discharge of drill muds, commonly including barite and bentonite clay. Here, we investigated the effects of these two byproducts on the expansion behaviour, mucus secretion and cnidocyte density of the solitary cup coral Flabellum ( Ulocyathus ) alabastrum . A total of 96 live corals were exposed over 10 days to one of three treatments (barite, bentonite, or barite and bentonite combined) or assigned as an untreated control. Daily waste additions aimed to reach a total sedimentation depth of 6.3 mm (common ‘probable no-effects threshold’). Photography was used to monitor behavioural changes and mucus production, and histology was used to assess changes in tentacle cnidocytes. Overall, responses of F. alabastrum in the form of excessive polyp expansion (swelling) and mucus production were more severe under the barite and bentonite combined treatment, followed by barite alone, bentonite alone and lowest/absent in the control. Moreover, elevated nematocyte densities were measured under exposure to the mix of barite and bentonite. However, F. alabastrum returned to baseline metrics during a 10-day recovery period. The results suggest that sedimentation of common drill mud ingredients to &lt;6.3 mm depth can cause observable and non-lethal responses in F. alabastrum , but remain conservative relative to what may be experienced in situ . As the most adverse effects were observed under the barite and bentonite combination treatment (tested together for the first time here), potential synergistic effects of the two should be considered in future research. Understanding long-term consequences, as well as impacts of more abrasive drilling waste (drill cuttings) on F. alabastrum requires further study.</x:v>
      </x:c>
      <x:c r="K12" s="11" t="str">
        <x:v>YES</x:v>
      </x:c>
      <x:c r="L12" s="7" t="str">
        <x:v>FROZEN_PUBLIC_FULL_TEXT_LOCATION</x:v>
      </x:c>
      <x:c r="M12" s="7" t="str">
        <x:v>https://doi.org/10.1016/j.dsr2.2025.105536</x:v>
      </x:c>
      <x:c r="N12" s="7" t="str">
        <x:v>VERIFIED_BIBLIOGRAPHIC_DOCUMENT</x:v>
      </x:c>
      <x:c r="O12" s="7" t="str"/>
      <x:c r="P12" s="11" t="str"/>
      <x:c r="Q12" s="7" t="str"/>
      <x:c r="R12" s="7" t="str"/>
      <x:c r="S12" s="7" t="str"/>
      <x:c r="T12" s="7" t="str"/>
      <x:c r="U12" s="7" t="str"/>
      <x:c r="V12" s="7" t="str">
        <x:v>PRODUCTION_CORE_INCLUDE</x:v>
      </x:c>
      <x:c r="W12" s="7" t="str">
        <x:v>PROD-00051</x:v>
      </x:c>
    </x:row>
    <x:row r="13" ht="42" customHeight="1">
      <x:c r="A13" s="17" t="str">
        <x:v>A</x:v>
      </x:c>
      <x:c r="B13" s="7" t="str">
        <x:v>CWC-93C925DB4EEE</x:v>
      </x:c>
      <x:c r="C13" s="7" t="str">
        <x:v>Resistance of Lophelia pertusa to coverage by sediment and petroleum drill cuttings</x:v>
      </x:c>
      <x:c r="D13" s="7" t="str">
        <x:v>Elke Allers | Raeid M. M. Abed | Laura M. Wehrmann | Tao Wang | Ann I. Larsson | Autun Purser | Dirk de Beer</x:v>
      </x:c>
      <x:c r="E13" s="11" t="str">
        <x:v>2013</x:v>
      </x:c>
      <x:c r="F13" s="7" t="str">
        <x:v>Marine Pollution Bulletin</x:v>
      </x:c>
      <x:c r="G13" s="7" t="str">
        <x:v>article</x:v>
      </x:c>
      <x:c r="H13" s="7" t="str">
        <x:v>10.1016/j.marpolbul.2013.07.016</x:v>
      </x:c>
      <x:c r="I13" s="7" t="str">
        <x:v>https://doi.org/10.1016/j.marpolbul.2013.07.016</x:v>
      </x:c>
      <x:c r="J13" s="7" t="str">
        <x:v>In laboratory experiments, the cold-water coral Lophelia pertusa was exposed to settling particles. The effects of reef sediment, petroleum drill cuttings and a mix of both, on the development of anoxia at the coral surface were studied using O-2, pH and H2S microsensors and by assessing coral polyp mortality. Due to the branching morphology of L pernisa and the release of coral mucus, accumulation rates of settling material on coral branches were low. Microsensors detected H2S production in only a few samples, and sulfate reduction rates of natural reef sediment slurries were low ( 24 h in reef sediment resulted in suffocation. (C) 2013 Elsevier Ltd. All rights reserved.</x:v>
      </x:c>
      <x:c r="K13" s="11" t="str">
        <x:v>NO</x:v>
      </x:c>
      <x:c r="L13" s="7" t="str">
        <x:v>NOT_CONFIRMED</x:v>
      </x:c>
      <x:c r="M13" s="7" t="str"/>
      <x:c r="N13" s="7" t="str">
        <x:v>VERIFIED_BIBLIOGRAPHIC_DOCUMENT</x:v>
      </x:c>
      <x:c r="O13" s="7" t="str"/>
      <x:c r="P13" s="11" t="str"/>
      <x:c r="Q13" s="7" t="str"/>
      <x:c r="R13" s="7" t="str"/>
      <x:c r="S13" s="7" t="str"/>
      <x:c r="T13" s="7" t="str"/>
      <x:c r="U13" s="7" t="str"/>
      <x:c r="V13" s="7" t="str">
        <x:v>PRODUCTION_CORE_INCLUDE</x:v>
      </x:c>
      <x:c r="W13" s="7" t="str">
        <x:v>PROD-00053</x:v>
      </x:c>
    </x:row>
    <x:row r="14" ht="42" customHeight="1">
      <x:c r="A14" s="17" t="str">
        <x:v>A</x:v>
      </x:c>
      <x:c r="B14" s="7" t="str">
        <x:v>CWC-06A242DB83C1</x:v>
      </x:c>
      <x:c r="C14" s="7" t="str">
        <x:v>An evaluation of coral lophelia pertusa mucus as an analytical matrix for environmental monitoring: A preliminary proteomic study</x:v>
      </x:c>
      <x:c r="D14" s="7" t="str">
        <x:v>Fiona Provan | Mari Mæland Nilsen | Eivind Larssen | Kai‐Erik Uleberg | Magne O. Sydnes | Emily Lyng | Kjell Birger Øysæd | Thierry Baussant</x:v>
      </x:c>
      <x:c r="E14" s="11" t="str">
        <x:v>2016</x:v>
      </x:c>
      <x:c r="F14" s="7" t="str">
        <x:v>Journal of Toxicology and Environmental Health</x:v>
      </x:c>
      <x:c r="G14" s="7" t="str">
        <x:v>article</x:v>
      </x:c>
      <x:c r="H14" s="7" t="str">
        <x:v>10.1080/15287394.2016.1210494</x:v>
      </x:c>
      <x:c r="I14" s="7" t="str">
        <x:v>https://doi.org/10.1080/15287394.2016.1210494</x:v>
      </x:c>
      <x:c r="J14" s="7" t="str">
        <x:v>For the environmental monitoring of coral, mucus appears to be an appropriate biological matrix due to its array of functions in coral biology and the non-intrusive manner in which it can be collected. The aim of the present study was to evaluate the feasibility of using mucus of the stony coral Lophelia pertusa (L. pertusa) as an analytical matrix for discovery of biomarkers used for environmental monitoring. More specifically, to assess whether a mass-spectrometry-based proteomic approach can be applied to characterize the protein composition of coral mucus and changes related to petroleum discharges at the seafloor. Surface-enhanced laser desorption/ionization-time of flight mass spectrometry (SELDI-TOF MS) screening analyses of orange and white L. pertusa showed that the mucosal protein composition varies significantly with color phenotype, a pattern not reported prior to this study. Hence, to reduce variability from phenotype difference, L. pertusa white individuals only were selected to characterize in more detail the basal protein composition in mucus using liquid chromatography, mass spectrometry, mass spectrometry (LC-MS/MS). In total, 297 proteins were identified in L. pertusa mucus of unexposed coral individuals. Individuals exposed to drill cuttings in the range 2 to 12 mg/L showed modifications in coral mucus protein composition compared to unexposed corals. Although the results were somewhat inconsistent between individuals and require further validation in both the lab and the field, this study demonstrated preliminary encouraging results for discovery of protein markers in coral mucus that might provide more comprehensive insight into potential consequences attributed to anthropogenic stressors and may be used in future monitoring of coral health.</x:v>
      </x:c>
      <x:c r="K14" s="11" t="str">
        <x:v>NO</x:v>
      </x:c>
      <x:c r="L14" s="7" t="str">
        <x:v>NOT_CONFIRMED</x:v>
      </x:c>
      <x:c r="M14" s="7" t="str"/>
      <x:c r="N14" s="7" t="str">
        <x:v>VERIFIED_BIBLIOGRAPHIC_DOCUMENT</x:v>
      </x:c>
      <x:c r="O14" s="7" t="str"/>
      <x:c r="P14" s="11" t="str"/>
      <x:c r="Q14" s="7" t="str"/>
      <x:c r="R14" s="7" t="str"/>
      <x:c r="S14" s="7" t="str"/>
      <x:c r="T14" s="7" t="str"/>
      <x:c r="U14" s="7" t="str"/>
      <x:c r="V14" s="7" t="str">
        <x:v>PRODUCTION_CORE_INCLUDE</x:v>
      </x:c>
      <x:c r="W14" s="7" t="str">
        <x:v>PROD-00054</x:v>
      </x:c>
    </x:row>
    <x:row r="15" ht="42" customHeight="1">
      <x:c r="A15" s="17" t="str">
        <x:v>A</x:v>
      </x:c>
      <x:c r="B15" s="7" t="str">
        <x:v>CWC-BFB60DE6806C</x:v>
      </x:c>
      <x:c r="C15" s="7" t="str">
        <x:v>Impact of excessive sedimentation caused by anthropogenic activities on benthic suspension feeders in the Sea of Marmara</x:v>
      </x:c>
      <x:c r="D15" s="7" t="str">
        <x:v>Nur Eda Topçu | Emre Turgay | Remziye Eda Yardımcı | Bülent Topaloğlu | Ahsen Yüksek | Terje M. Steınum | Süheyla Karataş | Bayram Öztürk</x:v>
      </x:c>
      <x:c r="E15" s="11" t="str">
        <x:v>2018</x:v>
      </x:c>
      <x:c r="F15" s="7" t="str">
        <x:v>Journal of the Marine Biological Association of the United Kingdom</x:v>
      </x:c>
      <x:c r="G15" s="7" t="str">
        <x:v>article</x:v>
      </x:c>
      <x:c r="H15" s="7" t="str">
        <x:v>10.1017/s0025315418001066</x:v>
      </x:c>
      <x:c r="I15" s="7" t="str">
        <x:v>https://doi.org/10.1017/s0025315418001066</x:v>
      </x:c>
      <x:c r="J15" s="7" t="str">
        <x:v>Abstract A massive die-off of benthic suspension feeders (BSF) covered by large amounts of sediments was observed along Prince Islands coasts (north-eastern Sea of Marmara) in August 2015. Alcyonarians, pennatulaceans, bivalves and sponges were severely affected. Many BSF probably died from burial and clogging of their feeding and respiratory apparatus. Of the gorgonian colonies, 66 ± 34% (mean ± SD) were dead, while 15 ± 16% (mean ± SD) displayed recent necrosis on the colony surface. In addition, histopathological and microbial examinations of the affected gorgonians and gold corals ( Savalia savaglia ) suggest that stress caused by sedimentation made them vulnerable to exploitation by consistently isolated opportunistic microorganisms. We isolated Vibrio splendidus and Vibrio neptunius from diseased gold coral colonies, but the bacterial isolates obtained from gorgonians could only be identified to genus Vibrio level. The presumably artificially introduced fungus Mucor circinelloides was common on both gold coral and gorgonians. This mould and opportunistic bacteria may have colonized BSF by taking advantage of low oxygen levels leading to impaired coral immune responses and thereby exacerbated the BSF mortality. Construction and landfill operations at Yassıada seem to be the greatest contributor to the observed sedimentation, as shown by silicate concentrations in nearby waters. These observations imply that preventive measures are necessary when construction operations take place in the vicinity of sensitive marine habitats.</x:v>
      </x:c>
      <x:c r="K15" s="11" t="str">
        <x:v>NO</x:v>
      </x:c>
      <x:c r="L15" s="7" t="str">
        <x:v>NOT_CONFIRMED</x:v>
      </x:c>
      <x:c r="M15" s="7" t="str"/>
      <x:c r="N15" s="7" t="str">
        <x:v>VERIFIED_BIBLIOGRAPHIC_DOCUMENT</x:v>
      </x:c>
      <x:c r="O15" s="7" t="str"/>
      <x:c r="P15" s="11" t="str"/>
      <x:c r="Q15" s="7" t="str"/>
      <x:c r="R15" s="7" t="str"/>
      <x:c r="S15" s="7" t="str"/>
      <x:c r="T15" s="7" t="str"/>
      <x:c r="U15" s="7" t="str"/>
      <x:c r="V15" s="7" t="str">
        <x:v>PRODUCTION_CORE_INCLUDE</x:v>
      </x:c>
      <x:c r="W15" s="7" t="str">
        <x:v>PROD-00171</x:v>
      </x:c>
    </x:row>
    <x:row r="16" ht="42" customHeight="1">
      <x:c r="A16" s="17" t="str">
        <x:v>A</x:v>
      </x:c>
      <x:c r="B16" s="7" t="str">
        <x:v>CWC-02937404E634</x:v>
      </x:c>
      <x:c r="C16" s="7" t="str">
        <x:v>Deposit feeding:a novel mode of nutrition in the Antarctic colonial soft coral Gersemia antarctica</x:v>
      </x:c>
      <x:c r="D16" s="7" t="str">
        <x:v>Marc Slattery | JB McClintock | SS Bowser</x:v>
      </x:c>
      <x:c r="E16" s="11" t="str">
        <x:v>1997</x:v>
      </x:c>
      <x:c r="F16" s="7" t="str">
        <x:v>Marine Ecology Progress Series</x:v>
      </x:c>
      <x:c r="G16" s="7" t="str">
        <x:v>article</x:v>
      </x:c>
      <x:c r="H16" s="7" t="str">
        <x:v>10.3354/meps149299</x:v>
      </x:c>
      <x:c r="I16" s="7" t="str">
        <x:v>https://doi.org/10.3354/meps149299</x:v>
      </x:c>
      <x:c r="J16" s="7" t="str">
        <x:v>MEPS Marine Ecology Progress Series Contact the journal Facebook Twitter RSS Mailing List Subscribe to our mailing list via Mailchimp HomeLatest VolumeAbout the JournalEditorsTheme Sections MEPS 149:299-304 (1997) - doi:10.3354/meps149299 Deposit feeding: a novel mode of nutrition in the Antarctic colonial soft coral Gersemia antarctica Slattery M, McClintock JB, Bowser SS The colonial nephtheid soft coral Gersemia antarctica is a deposit feeder in the soft sediment communities of McMurdo Sound, Antarctica. This feeding strategy involves coordinated bending of the entire colony against the substrate and is previously undescribed among soft corals. Gut content analyses indicate a mixed diet that includes benthic diatoms, foraminiferans, and particulate organic matter. Soft coral colonies move periodically in an 'inch worm' fashion, presumably to exploit undisturbed sediments. In fact, when colonies encounter previously grazed sediment they contract from the substrate almost immediately. This feeding strategy has likely evolved to supplement the capture of planktonic prey and is of particular importance in the Antarctic, and potentially the deep sea, where water column productivity is seasonally constrained. Deposit feeding · Soft coral · Antarctica · Benthic communities Full text in pdf format PreviousNextExport citation RSS - Facebook - Tweet - linkedIn Cited by Published in MEPS Vol. 149. Publication date: April 10, 1997 Print ISSN:0171-8630; Online ISSN:1616-1599 Copyright © 1997 Inter-Research.</x:v>
      </x:c>
      <x:c r="K16" s="11" t="str">
        <x:v>NO</x:v>
      </x:c>
      <x:c r="L16" s="7" t="str">
        <x:v>NOT_CONFIRMED</x:v>
      </x:c>
      <x:c r="M16" s="7" t="str"/>
      <x:c r="N16" s="7" t="str">
        <x:v>VERIFIED_BIBLIOGRAPHIC_DOCUMENT</x:v>
      </x:c>
      <x:c r="O16" s="7" t="str"/>
      <x:c r="P16" s="11" t="str"/>
      <x:c r="Q16" s="7" t="str"/>
      <x:c r="R16" s="7" t="str"/>
      <x:c r="S16" s="7" t="str"/>
      <x:c r="T16" s="7" t="str"/>
      <x:c r="U16" s="7" t="str"/>
      <x:c r="V16" s="7" t="str">
        <x:v>PRODUCTION_CORE_INCLUDE</x:v>
      </x:c>
      <x:c r="W16" s="7" t="str">
        <x:v>PROD-00208</x:v>
      </x:c>
    </x:row>
    <x:row r="17" ht="42" customHeight="1">
      <x:c r="A17" s="17" t="str">
        <x:v>A</x:v>
      </x:c>
      <x:c r="B17" s="7" t="str">
        <x:v>CWC-650B6A791BA4</x:v>
      </x:c>
      <x:c r="C17" s="7" t="str">
        <x:v>Feeding strategies and diet composition of four Antarctic cnidarian species</x:v>
      </x:c>
      <x:c r="D17" s="7" t="str">
        <x:v>Orejas, C | Gili, JM | López-González, PJ | Arntz, WE</x:v>
      </x:c>
      <x:c r="E17" s="11" t="str">
        <x:v>2001</x:v>
      </x:c>
      <x:c r="F17" s="7" t="str">
        <x:v>POLAR BIOLOGY</x:v>
      </x:c>
      <x:c r="G17" s="7" t="str">
        <x:v>JOUR</x:v>
      </x:c>
      <x:c r="H17" s="7" t="str">
        <x:v>10.1007/s003000100272</x:v>
      </x:c>
      <x:c r="I17" s="7" t="str">
        <x:v>https://doi.org/10.1007/s003000100272</x:v>
      </x:c>
      <x:c r="J17" s="7" t="str">
        <x:v>The diet of four species of Antarctic cnidarians, two hydroids and two anthozoans, was investigated. One hydroid, Tubularia ralphii, and one anthozoan, Anthomastus bathyproctus, seem to basically consume zooplankton whereas the other hydroid species, Oswaldella antarctica, has a diet mainly based on the fine fraction of seston. The last cnidarian investigated, the stoloniferan alcyonacean, Clavularia cf. frankliniana, feeds mainly on resuspended material. The wide range of diets of these Antarctic cnidarians indicates opportunistic behaviour by feeding on different sources and taking advantage of the available food sources. Data related to low C/N ratios in the sediment and high NO2 concentrations in areas with dense communities of benthic suspension feeders, along with data on capture rates, lead us to hypothesize that these organisms play an important role in the recycling processes of organic matter in Antarctic benthic ecosystems.</x:v>
      </x:c>
      <x:c r="K17" s="11" t="str">
        <x:v>NO</x:v>
      </x:c>
      <x:c r="L17" s="7" t="str">
        <x:v>NOT_CONFIRMED</x:v>
      </x:c>
      <x:c r="M17" s="7" t="str"/>
      <x:c r="N17" s="7" t="str">
        <x:v>VERIFIED_BIBLIOGRAPHIC_DOCUMENT</x:v>
      </x:c>
      <x:c r="O17" s="7" t="str"/>
      <x:c r="P17" s="11" t="str"/>
      <x:c r="Q17" s="7" t="str"/>
      <x:c r="R17" s="7" t="str"/>
      <x:c r="S17" s="7" t="str"/>
      <x:c r="T17" s="7" t="str"/>
      <x:c r="U17" s="7" t="str"/>
      <x:c r="V17" s="7" t="str">
        <x:v>PRODUCTION_CORE_INCLUDE</x:v>
      </x:c>
      <x:c r="W17" s="7" t="str">
        <x:v>PROD-00243</x:v>
      </x:c>
    </x:row>
    <x:row r="18" ht="42" customHeight="1">
      <x:c r="A18" s="17" t="str">
        <x:v>A</x:v>
      </x:c>
      <x:c r="B18" s="7" t="str">
        <x:v>CWC-C5790D88C317</x:v>
      </x:c>
      <x:c r="C18" s="7" t="str">
        <x:v>Effects of finfish aquaculture waste on the soft coral Gersemia rubiformis and sea anemone Aulactinia stella</x:v>
      </x:c>
      <x:c r="D18" s="7" t="str">
        <x:v>Kathryn Murray | Bárbara de Moura Neves | Jean-François Hamel | Daria Gallardi | Annie Mercier</x:v>
      </x:c>
      <x:c r="E18" s="11" t="str">
        <x:v>2026</x:v>
      </x:c>
      <x:c r="F18" s="7" t="str">
        <x:v>Marine Pollution Bulletin</x:v>
      </x:c>
      <x:c r="G18" s="7" t="str">
        <x:v>article</x:v>
      </x:c>
      <x:c r="H18" s="7" t="str">
        <x:v>10.1016/j.marpolbul.2026.119264</x:v>
      </x:c>
      <x:c r="I18" s="7" t="str">
        <x:v>https://doi.org/10.1016/j.marpolbul.2026.119264</x:v>
      </x:c>
      <x:c r="J18" s="7" t="str">
        <x:v>Finfish aquaculture production in marine habitats can alter benthic communities through the sedimentation of fish feces and excess feed. The direct impacts of aquaculture wastes on habitat-forming species such as cold-water corals, and other benthic megafauna, are not well understood. Here, the soft coral Gersemia rubiformis and the sea anemone Aulactinia stella were exposed twice daily to low (5 g C m −2 d −1 ) or high (10 g C m −2 d −1 ) concentrations of salmon feed/feces, inorganic sediment (0 g C m −2 d −1 ), or no sedimentation over 28 days. Behaviour was recorded using timelapse videos and direct observations, and biochemical analyses were conducted post-trial. When exposed to wastes, G. rubiformis spent more time in an expanded state, which may assist with sediment and/or bacterial removal. Similarly, individuals of A. stella exposed to wastes spent more time with their tentacles extended and showed increased eversion of their pharynx, potentially as feeding mechanisms. Though no change in lipid composition was detected because of aquaculture waste exposure in either species after 28 days, a shift in the overall fatty acid composition was identified for G. rubiformis . As well, tracer fatty acids associated with salmon waste (18:2ω6 and 18:1ω9) were elevated in the biochemical profiles of both species following the low and high-waste treatments, suggesting selective assimilation of salmon feed . This study showed behavioural and biochemical effects in both G. rubiformis and A. stella over a short period of exposure to aquaculture wastes, raising important questions regarding the effects of long-term exposure to wastes.</x:v>
      </x:c>
      <x:c r="K18" s="11" t="str">
        <x:v>YES</x:v>
      </x:c>
      <x:c r="L18" s="7" t="str">
        <x:v>FROZEN_PUBLIC_FULL_TEXT_LOCATION</x:v>
      </x:c>
      <x:c r="M18" s="7" t="str">
        <x:v>https://doi.org/10.1016/j.marpolbul.2026.119264</x:v>
      </x:c>
      <x:c r="N18" s="7" t="str">
        <x:v>VERIFIED_BIBLIOGRAPHIC_DOCUMENT</x:v>
      </x:c>
      <x:c r="O18" s="7" t="str"/>
      <x:c r="P18" s="11" t="str"/>
      <x:c r="Q18" s="7" t="str"/>
      <x:c r="R18" s="7" t="str"/>
      <x:c r="S18" s="7" t="str"/>
      <x:c r="T18" s="7" t="str"/>
      <x:c r="U18" s="7" t="str"/>
      <x:c r="V18" s="7" t="str">
        <x:v>PRODUCTION_CORE_INCLUDE</x:v>
      </x:c>
      <x:c r="W18" s="7" t="str">
        <x:v>PROD-00303</x:v>
      </x:c>
    </x:row>
    <x:row r="19" ht="42" customHeight="1">
      <x:c r="A19" s="17" t="str">
        <x:v>A</x:v>
      </x:c>
      <x:c r="B19" s="7" t="str">
        <x:v>CWC-64D1F1401DD1</x:v>
      </x:c>
      <x:c r="C19" s="7" t="str">
        <x:v>Morphological responses of a cup coral to environmental gradients</x:v>
      </x:c>
      <x:c r="D19" s="7" t="str">
        <x:v>James J. Bell</x:v>
      </x:c>
      <x:c r="E19" s="11" t="str">
        <x:v>2002</x:v>
      </x:c>
      <x:c r="F19" s="7" t="str">
        <x:v>Sarsia</x:v>
      </x:c>
      <x:c r="G19" s="7" t="str">
        <x:v>article</x:v>
      </x:c>
      <x:c r="H19" s="7" t="str">
        <x:v>10.1080/00364820260400825</x:v>
      </x:c>
      <x:c r="I19" s="7" t="str">
        <x:v>https://doi.org/10.1080/00364820260400825</x:v>
      </x:c>
      <x:c r="J19" s="7" t="str">
        <x:v>The morphology of the cup coral Caryophyllia smithii was studied under different regimes of water movement at Lough Hyne, Co. Cork, Ireland (51degrees29'N 9degrees18'W). Size was found to be significantly greater in wave sheltered environments than in wave exposed locations. Also, the size of corals decreased significantly with increasing depth, but only at wave sheltered locations. The smaller size of corals on the open coast (exposed) was considered to be a result of higher mortality from dislodgement of corals by intense wave action. The decrease in size with depth at sheltered environments is considered with respect to the increased energetic demand from sediment removal, reducing energy available for growth. An increased coral height for any given calyx width was found with increasing depth at sheltered sites and was higher at all depths than at the wave exposed site (even though actual heights decreased). Taller corals (for any given calyx size) release corals from competition with encrusting sponges and keep the calyx above the sediment surface. Upright forms also reduce the amount of sediment falling on feeding surfaces. It is considered that this morphological adaptation is mediated through initial high growth rates at undisturbed sites or reduced growth rates at disturbed sites. However, once corals reach &gt;8 mm in height, the growth rates are the same at all sites. The morphological adaptation of juvenile corals may have important consequences with respect to adaptation of adult corals, should their environment change.</x:v>
      </x:c>
      <x:c r="K19" s="11" t="str">
        <x:v>NO</x:v>
      </x:c>
      <x:c r="L19" s="7" t="str">
        <x:v>NOT_CONFIRMED</x:v>
      </x:c>
      <x:c r="M19" s="7" t="str"/>
      <x:c r="N19" s="7" t="str">
        <x:v>VERIFIED_BIBLIOGRAPHIC_DOCUMENT</x:v>
      </x:c>
      <x:c r="O19" s="7" t="str"/>
      <x:c r="P19" s="11" t="str"/>
      <x:c r="Q19" s="7" t="str"/>
      <x:c r="R19" s="7" t="str"/>
      <x:c r="S19" s="7" t="str"/>
      <x:c r="T19" s="7" t="str"/>
      <x:c r="U19" s="7" t="str"/>
      <x:c r="V19" s="7" t="str">
        <x:v>PRODUCTION_CORE_INCLUDE</x:v>
      </x:c>
      <x:c r="W19" s="7" t="str">
        <x:v>PROD-00568</x:v>
      </x:c>
    </x:row>
    <x:row r="20" ht="42" customHeight="1">
      <x:c r="A20" s="17" t="str">
        <x:v>A</x:v>
      </x:c>
      <x:c r="B20" s="7" t="str">
        <x:v>CWC-EB13663851B4</x:v>
      </x:c>
      <x:c r="C20" s="7" t="str">
        <x:v>Reconstruction of the formation history of the Darwin Mounds, N Rockall Trough: How the dynamics of a sandy contourite affected cold-water coral growth</x:v>
      </x:c>
      <x:c r="D20" s="7" t="str">
        <x:v>Lissette Victorero | Dominique Blamart | Edwige Pons‐Branchu | Mark Mavrogordato | Veerle A.I. Huvenne</x:v>
      </x:c>
      <x:c r="E20" s="11" t="str">
        <x:v>2015</x:v>
      </x:c>
      <x:c r="F20" s="7" t="str">
        <x:v>Marine Geology</x:v>
      </x:c>
      <x:c r="G20" s="7" t="str">
        <x:v>article</x:v>
      </x:c>
      <x:c r="H20" s="7" t="str">
        <x:v>10.1016/j.margeo.2015.12.001</x:v>
      </x:c>
      <x:c r="I20" s="7" t="str">
        <x:v>https://doi.org/10.1016/j.margeo.2015.12.001</x:v>
      </x:c>
      <x:c r="J20" s="7" t="str">
        <x:v>Cold-water coral mounds, formed through a feed-back process of cold-water coral growth and sediment baffling, have been studied all along the NE Atlantic continental margin. However, major questions remain concerning their formation history, especially their initiation and early development in relation to the surrounding sediment dynamics. For the first time, two small mounds located in a sandy contourite have been cored from the top to mound base: here, the formation history of the Darwin Mounds, located in the Northern Rockall Trough was investigated and reconstructed from two piston cores using a multidisciplinary approach. This consisted of CT-scanning for quantifying coral density changes with depth, grain-size analysis to obtain the hydrodynamic trends and radiocarbon and U-series dating to place the results into a wider paleoceanographic context. The results show that the Darwin Mounds formed during the early Holocene (similar to 10 ka BP) through sediment baffling, mainly by Lophelia pertusa. The initiation of both mounds shows a similar pattern of increased current velocities resulting in coarser sediment deposition and a relatively high coral density with a peak of 23 vol%. The mound growth was rapid between similar to 10-9.7 ka BP (up to 277 cm ka(-1) in one of the mounds), with further vibrant growth periods around similar to 8.8 ka BP, 65 ka BP and 3.4 ka BP. The demise of the mounds ca. similar to 3 ka BP was likely caused by an intensification in bottom current velocities causing a hostile environment for coral growth in the contourite setting. In a wider context, the development of the Darwin Mounds appears to have responded to the relative strength and position of the Subpolar Gyre, which affected food supply to the corals, sedimentation rates, current speeds and other water mass properties in the area. (C) 2015 The Authors. Published by Elsevier B.V.</x:v>
      </x:c>
      <x:c r="K20" s="11" t="str">
        <x:v>YES</x:v>
      </x:c>
      <x:c r="L20" s="7" t="str">
        <x:v>FROZEN_PUBLIC_FULL_TEXT_LOCATION</x:v>
      </x:c>
      <x:c r="M20" s="7" t="str">
        <x:v>https://www.sciencedirect.com/science/article/pii/S0025322715300724/pdf</x:v>
      </x:c>
      <x:c r="N20" s="7" t="str">
        <x:v>VERIFIED_BIBLIOGRAPHIC_DOCUMENT</x:v>
      </x:c>
      <x:c r="O20" s="7" t="str"/>
      <x:c r="P20" s="11" t="str"/>
      <x:c r="Q20" s="7" t="str"/>
      <x:c r="R20" s="7" t="str"/>
      <x:c r="S20" s="7" t="str"/>
      <x:c r="T20" s="7" t="str"/>
      <x:c r="U20" s="7" t="str"/>
      <x:c r="V20" s="7" t="str">
        <x:v>PRODUCTION_CORE_INCLUDE</x:v>
      </x:c>
      <x:c r="W20" s="7" t="str">
        <x:v>PROD-00655</x:v>
      </x:c>
    </x:row>
    <x:row r="21" ht="42" customHeight="1">
      <x:c r="A21" s="17" t="str">
        <x:v>A</x:v>
      </x:c>
      <x:c r="B21" s="7" t="str">
        <x:v>CWC-5C88E3BBD29A</x:v>
      </x:c>
      <x:c r="C21" s="7" t="str">
        <x:v>Adverse effects of crushed seafloor massive sulphide deposits on the boreal deep-sea sponge Geodia barretti Bowerbank, 1858 and its associated fauna</x:v>
      </x:c>
      <x:c r="D21" s="7" t="str">
        <x:v>Erik Wurz | Linn M.Brekke Olsen | Kathrin Busch | Tone Ulvatn | Hans Tore Rapp | Ronald Osinga | Albertinka J. Murk</x:v>
      </x:c>
      <x:c r="E21" s="11" t="str">
        <x:v>2024</x:v>
      </x:c>
      <x:c r="F21" s="7" t="str">
        <x:v>Deep Sea Research Part I Oceanographic Research Papers</x:v>
      </x:c>
      <x:c r="G21" s="7" t="str">
        <x:v>article</x:v>
      </x:c>
      <x:c r="H21" s="7" t="str">
        <x:v>10.1016/j.dsr.2024.104311</x:v>
      </x:c>
      <x:c r="I21" s="7" t="str">
        <x:v>https://doi.org/10.1016/j.dsr.2024.104311</x:v>
      </x:c>
      <x:c r="J21" s="7" t="str">
        <x:v>Abundant mineral resources in the deep sea are prospected for mining for the global metal market. Seafloor massive sulphide (SMS) deposits along the Mid-Atlantic Ridge are one of the potential sources for these metals. The extraction of SMS deposits will expose adjacent marine ecosystems to suspended particle plumes charged with elevated concentrations of heavy metals and other potentially toxic compounds. Up to date there is no information about the impact of mining activities on deep-sea benthic ecosystems such as abundant deep-sea sponge grounds in the North Atlantic Ocean. Sponge grounds play a major role in benthic-pelagic coupling and represent an important habitat for a diversity of vertebrates, invertebrates and microorganisms. To simulate the effects of mining plumes on benthic life in the deep sea, we exposed Geodia barretti, a dominant sponge species in the North Atlantic Ocean, and an associated brittle star species from the genus Ophiura spp. to a field-relevant concentration of 30 mg L-1 suspended particles of crushed SMS deposits. Three weeks of exposure to suspended particles of crushed SMS resulted in a tenfold higher rate of tissue necrosis in sponges. All brittle stars in the experiment perished within ten days of exposure. SMS particles were evidently accumulated in the sponge’s mesohyl and concentrations of iron and copper were 10 times elevated in SMS exposed individuals. Oxygen consumption and clearance rates were significantly retarded after the exposure to SMS particles, hampering the physiological performance of G. barretti. These adverse effects of crushed SMS deposits on G. barretti and its associated brittle star species potentially cascade in disruptions of benthic-pelagic coupling processes in the deep sea. More elaborate studies are advisable to identify threshold levels, management concepts and mitigation measures to minimize the impact of deep-sea mining plumes on benthic life.</x:v>
      </x:c>
      <x:c r="K21" s="11" t="str">
        <x:v>YES</x:v>
      </x:c>
      <x:c r="L21" s="7" t="str">
        <x:v>FROZEN_PUBLIC_FULL_TEXT_LOCATION</x:v>
      </x:c>
      <x:c r="M21" s="7" t="str">
        <x:v>https://doi.org/10.1016/j.dsr.2024.104311</x:v>
      </x:c>
      <x:c r="N21" s="7" t="str">
        <x:v>VERIFIED_BIBLIOGRAPHIC_DOCUMENT</x:v>
      </x:c>
      <x:c r="O21" s="7" t="str"/>
      <x:c r="P21" s="11" t="str"/>
      <x:c r="Q21" s="7" t="str"/>
      <x:c r="R21" s="7" t="str"/>
      <x:c r="S21" s="7" t="str"/>
      <x:c r="T21" s="7" t="str"/>
      <x:c r="U21" s="7" t="str"/>
      <x:c r="V21" s="7" t="str">
        <x:v>PRODUCTION_CORE_INCLUDE</x:v>
      </x:c>
      <x:c r="W21" s="7" t="str">
        <x:v>PROD-00714</x:v>
      </x:c>
    </x:row>
    <x:row r="22" ht="42" customHeight="1">
      <x:c r="A22" s="17" t="str">
        <x:v>A</x:v>
      </x:c>
      <x:c r="B22" s="7" t="str">
        <x:v>CWC-3BA5EE36CD77</x:v>
      </x:c>
      <x:c r="C22" s="7" t="str">
        <x:v>Suspended sediment causes feeding current arrests in situ in the glass sponge Aphrocallistes vastus</x:v>
      </x:c>
      <x:c r="D22" s="7" t="str">
        <x:v>Nathan J.R. Grant | Eugueni Matveev | A Kahn | Sally P. Leys</x:v>
      </x:c>
      <x:c r="E22" s="11" t="str">
        <x:v>2018</x:v>
      </x:c>
      <x:c r="F22" s="7" t="str">
        <x:v>Marine Environmental Research</x:v>
      </x:c>
      <x:c r="G22" s="7" t="str">
        <x:v>article</x:v>
      </x:c>
      <x:c r="H22" s="7" t="str">
        <x:v>10.1016/j.marenvres.2018.02.020</x:v>
      </x:c>
      <x:c r="I22" s="7" t="str">
        <x:v>https://doi.org/10.1016/j.marenvres.2018.02.020</x:v>
      </x:c>
      <x:c r="J22" s="7" t="str">
        <x:v>Bottom-contact trawling generates large, moving clouds of suspended sediments that can alter the behaviour of organisms adjacent to trawl paths. While increased suspended sediment concentrations (SSCs) are known to cause glass sponges to arrest filtration in lab studies, the response of sponges to sediment in situ is not yet known. Here we describe arrest behaviours in response to increased SSCs recorded from the glass sponge Aphrocallistes vastus at the Fraser Ridge sponge reef in the Strait of Georgia, British Columbia, Canada. We identified 23 arrests of the sponges' feeding current during experimental disturbances that raised SSC to between 10 and 80mg(l-1). Single arrests lasted 4.25 +/- 1.3 min ( +/- SD) and were characterized by a 2 cm s(-1) reduction in feeding current lasting 0.5-3 min (mean 1.91 +/- 0.97 min, n = 19). In comparison, coughing arrests varied in length (31 +/- 22.89 min) with arrest phases lasting 4-15 min (10.46 +/- 5.26 min, n = 4). Coughing arrests showed a distinctive on/off pattern as sponge filtration returned to normal excurrent velocities, distinguishing them from single arrests. The onset of both arrest types was correlated with elevated SSCs (r = -0.83 to -0.92). Natural SSCs at the reef averaged 4.4 mgl(-1) and were correlated with tidal flow (r = 0.86 to 0.89). The combined data provide evidence that suspended sediments can stop glass sponge feeding in situ even at SSCs below those known to be generated by trawling.</x:v>
      </x:c>
      <x:c r="K22" s="11" t="str">
        <x:v>NO</x:v>
      </x:c>
      <x:c r="L22" s="7" t="str">
        <x:v>NOT_CONFIRMED</x:v>
      </x:c>
      <x:c r="M22" s="7" t="str"/>
      <x:c r="N22" s="7" t="str">
        <x:v>VERIFIED_BIBLIOGRAPHIC_DOCUMENT</x:v>
      </x:c>
      <x:c r="O22" s="7" t="str"/>
      <x:c r="P22" s="11" t="str"/>
      <x:c r="Q22" s="7" t="str"/>
      <x:c r="R22" s="7" t="str"/>
      <x:c r="S22" s="7" t="str"/>
      <x:c r="T22" s="7" t="str"/>
      <x:c r="U22" s="7" t="str"/>
      <x:c r="V22" s="7" t="str">
        <x:v>PRODUCTION_CORE_INCLUDE</x:v>
      </x:c>
      <x:c r="W22" s="7" t="str">
        <x:v>PROD-00715</x:v>
      </x:c>
    </x:row>
    <x:row r="23" ht="42" customHeight="1">
      <x:c r="A23" s="17" t="str">
        <x:v>A</x:v>
      </x:c>
      <x:c r="B23" s="7" t="str">
        <x:v>CWC-227A2136AB45</x:v>
      </x:c>
      <x:c r="C23" s="7" t="str">
        <x:v>The Hexactinellid Deep-Water Sponge Vazella pourtalesii (Schmidt, 1870) (Rossellidae) Copes With Temporarily Elevated Concentrations of Suspended Natural Sediment</x:v>
      </x:c>
      <x:c r="D23" s="7" t="str">
        <x:v>Erik Wurz | Lindsay Beazley | Barry MacDonald | Ellen Kenchington | Hans Tore Rapp | Ronald Osinga</x:v>
      </x:c>
      <x:c r="E23" s="11" t="str">
        <x:v>2021</x:v>
      </x:c>
      <x:c r="F23" s="7" t="str">
        <x:v>Frontiers in Marine Science</x:v>
      </x:c>
      <x:c r="G23" s="7" t="str">
        <x:v>article</x:v>
      </x:c>
      <x:c r="H23" s="7" t="str">
        <x:v>10.3389/fmars.2021.611539</x:v>
      </x:c>
      <x:c r="I23" s="7" t="str">
        <x:v>https://doi.org/10.3389/fmars.2021.611539</x:v>
      </x:c>
      <x:c r="J23" s="7" t="str">
        <x:v>Plumes of re-suspended sediment potentially smother and clog the aquiferous system of filter-feeding sponges with unknown implications for their health. For the first time, we examined the physiological responses of repeated exposure to natural sediment in the glass sponge Vazella pourtalesii , which forms dense sponge grounds in Emerald Basin off Nova Scotia, Canada. Ex situ chamber-based measurements of bacterial clearance and oxygen consumption (respiration) rates indicated that individuals subjected to elevated concentrations of suspended sediment expressed normal clearance and respiration rates over 7 days of sediment exposure, indicating an ability to cope with elevated concentrations of indigestible sediment particles. However, clearance rates significantly declined after 14 days of sediment exposure, suggesting an inability to cope with long-term exposure to increased sediment load. Therefore, long-term exposure to elevated concentrations of suspended sediment should be avoided in order to minimize adverse effects on the abundant Vazella sponge grounds.</x:v>
      </x:c>
      <x:c r="K23" s="11" t="str">
        <x:v>YES</x:v>
      </x:c>
      <x:c r="L23" s="7" t="str">
        <x:v>FROZEN_PUBLIC_FULL_TEXT_LOCATION</x:v>
      </x:c>
      <x:c r="M23" s="7" t="str">
        <x:v>https://www.frontiersin.org/articles/10.3389/fmars.2021.611539/pdf</x:v>
      </x:c>
      <x:c r="N23" s="7" t="str">
        <x:v>VERIFIED_BIBLIOGRAPHIC_DOCUMENT</x:v>
      </x:c>
      <x:c r="O23" s="7" t="str"/>
      <x:c r="P23" s="11" t="str"/>
      <x:c r="Q23" s="7" t="str"/>
      <x:c r="R23" s="7" t="str"/>
      <x:c r="S23" s="7" t="str"/>
      <x:c r="T23" s="7" t="str"/>
      <x:c r="U23" s="7" t="str"/>
      <x:c r="V23" s="7" t="str">
        <x:v>PRODUCTION_CORE_INCLUDE</x:v>
      </x:c>
      <x:c r="W23" s="7" t="str">
        <x:v>PROD-00716</x:v>
      </x:c>
    </x:row>
    <x:row r="24" ht="42" customHeight="1">
      <x:c r="A24" s="17" t="str">
        <x:v>A</x:v>
      </x:c>
      <x:c r="B24" s="7" t="str">
        <x:v>CWC-D47B9A6D53DA</x:v>
      </x:c>
      <x:c r="C24" s="7" t="str">
        <x:v>Glass sponges arrest pumping in response to sediment: implications for the physiology of the hexactinellid conduction system</x:v>
      </x:c>
      <x:c r="D24" s="7" t="str">
        <x:v>Gabrielle J. Tompkins-MacDonald | Sally P. Leys</x:v>
      </x:c>
      <x:c r="E24" s="11" t="str">
        <x:v>2008</x:v>
      </x:c>
      <x:c r="F24" s="7" t="str">
        <x:v>Marine Biology</x:v>
      </x:c>
      <x:c r="G24" s="7" t="str">
        <x:v>article</x:v>
      </x:c>
      <x:c r="H24" s="7" t="str">
        <x:v>10.1007/s00227-008-0987-y</x:v>
      </x:c>
      <x:c r="I24" s="7" t="str">
        <x:v>https://doi.org/10.1007/s00227-008-0987-y</x:v>
      </x:c>
      <x:c r="J24" s="7" t="str">
        <x:v>The hexactinellid sponge Rhabdocalyptus dawsoni propagates electrical signals to arrest its feeding current in response to mechanical stimuli and sediment. The deepwater habitat of other species of glass sponge, and the difficulty of working with the tissue in vitro have so far prevented confirmation of electrical signaling in other members of the Class. Here we show in laboratory experiments (ex situ) that mechanical and sediment stimuli trigger immediate arrest in R. dawsoni and in a second species of hexactinellid, Aphrocallistes vastus, suggesting that rapid signaling may be a general feature of glass sponge tissue. Further, responses of the two species differed, suggestive of underlying physiological differences in the conduction system. R. dawsoni and A. vastus were sensitive to sediment but arrests were often prolonged in R. dawsoni, whereas in A. vastus pumping resumed immediately following each arrest. Fine sediment (&lt; 25 mu m) caused immediate arrests in R. dawsoni and A. vastus, but with a higher stimulus threshold in A. vastus. Large amounts of sediment triggered repeated arrests in both species, and prolonged exposure to sediment (over 4 h) caused a gradual reduction in pumping, with recovery taking up to 25 h. During recovery, both species of sponge carried out repeated arrests, which had a precise periodicity indicative of pacemaker activity. Scanning electron microscopy of the tissue of these specimens showed many chambers were clogged. The results suggest that the glass sponge conduction system generates arrest of the feeding current that prevent uptake of small amounts of sediment, and that each species has different threshold sensitivities. However, ongoing exposure to sediment can clog the filtration apparatus.</x:v>
      </x:c>
      <x:c r="K24" s="11" t="str">
        <x:v>YES</x:v>
      </x:c>
      <x:c r="L24" s="7" t="str">
        <x:v>FROZEN_PUBLIC_FULL_TEXT_LOCATION</x:v>
      </x:c>
      <x:c r="M24" s="7" t="str">
        <x:v>https://www.ovid.com/journals/mabi/fulltext/10.1007/s00227-008-0987-y~glass-sponges-arrest-pumping-in-response-to-sediment</x:v>
      </x:c>
      <x:c r="N24" s="7" t="str">
        <x:v>VERIFIED_BIBLIOGRAPHIC_DOCUMENT</x:v>
      </x:c>
      <x:c r="O24" s="7" t="str"/>
      <x:c r="P24" s="11" t="str"/>
      <x:c r="Q24" s="7" t="str"/>
      <x:c r="R24" s="7" t="str"/>
      <x:c r="S24" s="7" t="str"/>
      <x:c r="T24" s="7" t="str"/>
      <x:c r="U24" s="7" t="str"/>
      <x:c r="V24" s="7" t="str">
        <x:v>PRODUCTION_CORE_INCLUDE</x:v>
      </x:c>
      <x:c r="W24" s="7" t="str">
        <x:v>PROD-00717</x:v>
      </x:c>
    </x:row>
    <x:row r="25" ht="42" customHeight="1">
      <x:c r="A25" s="17" t="str">
        <x:v>A</x:v>
      </x:c>
      <x:c r="B25" s="7" t="str">
        <x:v>CWC-CACB1DD754AC</x:v>
      </x:c>
      <x:c r="C25" s="7" t="str">
        <x:v>Potential Impacts of Offshore Oil and Gas Activities on Deep-Sea Sponges and the Habitats They Form</x:v>
      </x:c>
      <x:c r="D25" s="7" t="str">
        <x:v>Johanne Vad | Georgios Kazanidis | Lea‐Anne Henry | Daniel O. B. Jones | Ole Secher Tendal | Sabine Christiansen | Theodore B. Henry | J. Murray Roberts</x:v>
      </x:c>
      <x:c r="E25" s="11" t="str">
        <x:v>2018</x:v>
      </x:c>
      <x:c r="F25" s="7" t="str">
        <x:v>Advances in marine biology</x:v>
      </x:c>
      <x:c r="G25" s="7" t="str">
        <x:v>book-chapter</x:v>
      </x:c>
      <x:c r="H25" s="7" t="str">
        <x:v>10.1016/bs.amb.2018.01.001</x:v>
      </x:c>
      <x:c r="I25" s="7" t="str">
        <x:v>https://doi.org/10.1016/bs.amb.2018.01.001</x:v>
      </x:c>
      <x:c r="J25" s="7" t="str">
        <x:v>Sponges form an important component of benthic ecosystems from shallow littoral to hadal depths. In the deep ocean, beyond the continental shelf, sponges can form high-density fields, constituting important habitats supporting rich benthic communities. Yet these habitats remain relatively unexplored. The oil and gas industry has played an important role in advancing our knowledge of deep-sea environments. Since its inception in the 1960s, offshore oil and gas industry has moved into deeper waters. However, the impacts of these activities on deep-sea sponges and other ecosystems are only starting to become the subject of active research. Throughout the development, operation and closure of an oil or gas field many activities take place, ranging from the seismic exploration of subseafloor geological features to the installation of infrastructure at the seabed to the drilling process itself. These routine activities and accidental releases of hydrocarbons during spills can significantly impact the local marine environment. Each phase of a field development or an accidental oil spill will therefore have different impacts on sponges at community, individual and cellular levels. Legacy issues regarding the future decommissioning of infrastructure and the abandonment of wells are also important environmental management considerations. This chapter reviews our understanding of impacts from hydrocarbon exploration and exploitation activities on deep-sea sponges and the habitats they form. These impacts include those (1) at community level, decreasing the diversity and density of benthic communities associated with deep-sea sponges owing to physical disturbance of the seabed; (2) at individual level, interrupting filtration owing to exposure to increased sedimentation; and (3) at cellular level, decreasing cellular membrane stability owing to exposure to drill muds. However, many potential effects not yet tested in deep-sea sponges but observed in shallow-water sponges or other model organisms should also be taken into account. Furthermore, to the best of our knowledge, no studies have shown impact of oil or dispersed oil on deep-sea sponges. To highlight these significant knowledge gaps, a summary table of potential and known impacts of hydrocarbon extraction and production activities combined with a simple "traffic light" scheme is also provided.</x:v>
      </x:c>
      <x:c r="K25" s="11" t="str">
        <x:v>YES</x:v>
      </x:c>
      <x:c r="L25" s="7" t="str">
        <x:v>FROZEN_PUBLIC_FULL_TEXT_LOCATION</x:v>
      </x:c>
      <x:c r="M25" s="7" t="str">
        <x:v>https://www.pure.ed.ac.uk/ws/files/50841106/SpongeReview_FinalDraft.pdf</x:v>
      </x:c>
      <x:c r="N25" s="7" t="str">
        <x:v>VERIFIED_BIBLIOGRAPHIC_DOCUMENT</x:v>
      </x:c>
      <x:c r="O25" s="7" t="str"/>
      <x:c r="P25" s="11" t="str"/>
      <x:c r="Q25" s="7" t="str"/>
      <x:c r="R25" s="7" t="str"/>
      <x:c r="S25" s="7" t="str"/>
      <x:c r="T25" s="7" t="str"/>
      <x:c r="U25" s="7" t="str"/>
      <x:c r="V25" s="7" t="str">
        <x:v>PRODUCTION_CORE_INCLUDE</x:v>
      </x:c>
      <x:c r="W25" s="7" t="str">
        <x:v>PROD-00719</x:v>
      </x:c>
    </x:row>
    <x:row r="26" ht="42" customHeight="1">
      <x:c r="A26" s="17" t="str">
        <x:v>A</x:v>
      </x:c>
      <x:c r="B26" s="7" t="str">
        <x:v>CWC-E6C6D0F728A1</x:v>
      </x:c>
      <x:c r="C26" s="7" t="str">
        <x:v>A New Method of Determining Glass Sponge Reef Adaptive Management Zones for the Hecate Strait and Queen Charlotte Sound Marine Protected Area</x:v>
      </x:c>
      <x:c r="D26" s="7" t="str">
        <x:v>Guoqi Han | Jon Chamberlain | Colin Webber | Charles G. Hannah</x:v>
      </x:c>
      <x:c r="E26" s="11" t="str">
        <x:v>2022</x:v>
      </x:c>
      <x:c r="F26" s="7" t="str">
        <x:v>Journal of Marine Science and Engineering</x:v>
      </x:c>
      <x:c r="G26" s="7" t="str">
        <x:v>article</x:v>
      </x:c>
      <x:c r="H26" s="7" t="str">
        <x:v>10.3390/jmse10070971</x:v>
      </x:c>
      <x:c r="I26" s="7" t="str">
        <x:v>https://doi.org/10.3390/jmse10070971</x:v>
      </x:c>
      <x:c r="J26" s="7" t="str">
        <x:v>The world’s largest living glass sponge reefs, located in the Hecate Strait and Queen Charlotte Sound off British Columbia, are impacted by bottom contact fishing gear. The existing Adaptive Management Zones (AMZs) for the protection of these reefs were determined by considering the potential exposure of glass sponges to suspended sediment due to mobile bottom-contact fishing, but without considering their pumping arrest threshold concentrations. Here, we develop a new method that uses a sediment transport model under horizontally variable near-bottom currents and newly available sponge reef pumping arrest thresholds to determine the size and shape of AMZ for the northern reefs in the Hecate Strait and Queen Charlotte Sound Marine Protected Area. The resulting AMZ is larger than the existing AMZ due to the observation that the largest currents are not always in the direction of the dominant tidal flows, the introduction of the new pumping arrest threshold, and the inclusion of a background sediment concentration. The new AMZ boundary could provide more adequate protection for the glass sponge reefs from the effects of sedimentation induced by mobile, bottom-contact fishing activity. The new method is applicable to other glass sponge reefs in British Columbia waters.</x:v>
      </x:c>
      <x:c r="K26" s="11" t="str">
        <x:v>YES</x:v>
      </x:c>
      <x:c r="L26" s="7" t="str">
        <x:v>FROZEN_PUBLIC_FULL_TEXT_LOCATION</x:v>
      </x:c>
      <x:c r="M26" s="7" t="str">
        <x:v>https://www.mdpi.com/2077-1312/10/7/971/pdf?version=1657877514</x:v>
      </x:c>
      <x:c r="N26" s="7" t="str">
        <x:v>VERIFIED_BIBLIOGRAPHIC_DOCUMENT</x:v>
      </x:c>
      <x:c r="O26" s="7" t="str"/>
      <x:c r="P26" s="11" t="str"/>
      <x:c r="Q26" s="7" t="str"/>
      <x:c r="R26" s="7" t="str"/>
      <x:c r="S26" s="7" t="str"/>
      <x:c r="T26" s="7" t="str"/>
      <x:c r="U26" s="7" t="str"/>
      <x:c r="V26" s="7" t="str">
        <x:v>PRODUCTION_CORE_INCLUDE</x:v>
      </x:c>
      <x:c r="W26" s="7" t="str">
        <x:v>PROD-00721</x:v>
      </x:c>
    </x:row>
    <x:row r="27" ht="42" customHeight="1">
      <x:c r="A27" s="17" t="str">
        <x:v>A</x:v>
      </x:c>
      <x:c r="B27" s="7" t="str">
        <x:v>CWC-A892DB47932A</x:v>
      </x:c>
      <x:c r="C27" s="7" t="str">
        <x:v>Effect of suspended sediments on the pumping rates of three species of glass sponge in situ</x:v>
      </x:c>
      <x:c r="D27" s="7" t="str">
        <x:v>Nathan J.R. Grant | Eugueni Matveev | A Kahn | Stephanie K. Archer | Amy E. Dunham | RJ Bannister | Dafne Eerkes‐Medrano | Sally P. Leys</x:v>
      </x:c>
      <x:c r="E27" s="11" t="str">
        <x:v>2019</x:v>
      </x:c>
      <x:c r="F27" s="7" t="str">
        <x:v>Marine Ecology Progress Series</x:v>
      </x:c>
      <x:c r="G27" s="7" t="str">
        <x:v>article</x:v>
      </x:c>
      <x:c r="H27" s="7" t="str">
        <x:v>10.3354/meps12939</x:v>
      </x:c>
      <x:c r="I27" s="7" t="str">
        <x:v>https://doi.org/10.3354/meps12939</x:v>
      </x:c>
      <x:c r="J27" s="7" t="str">
        <x:v>The largest known glass sponge reefs in Canada are within the Hecate Strait and Queen Charlotte Sound Glass Sponge Reefs Marine Protected Area (HSQCS-MPA) in British Columbia. However, human activities outside the core MPA boundaries, such as trawling, can create plumes of suspended sediments capable of travelling large distances. We studied the response of 3 glass sponge species to changes in suspended sediment concentrations (SSCs) at 170 m depth inside the HSQCS-MPA. Two species reduced excurrent flow rate in response to natural and experimentally induced increases in suspended sediment. Background suspended sediment levels were low and showed little variation (2.71 +/- 0.09 mg l(-1), mean +/- SD). Species varied in the threshold of SSCs that triggered arrests. Sediment concentrations of 2.8-6.4 mg l(-1) caused arrests in Rhabdocalyptus dawsoni, while Heterochone calyx did not arrest until concentrations reached 5-10 mg l(-1), Very small, but prolonged increases of suspended sediments (&lt;1 mg l(-1) for R. dawsoni and 3.2 mg l(-1) for H. calyx) caused arrests of several hours in R. dawsoni and prolonged periods of reduced flow in H. calyx. No arrests were observed in Farrea occa, even after repeated exposures up to 57 mg l(-1). A sediment transport model showed that sediment concentrations can remain high enough to affect sponge behaviour as far as 2.39 km from the source of the plume. The results highlight the importance of understanding the biology of different species for establishment of adequate boundaries in MPAs.</x:v>
      </x:c>
      <x:c r="K27" s="11" t="str">
        <x:v>YES</x:v>
      </x:c>
      <x:c r="L27" s="7" t="str">
        <x:v>FROZEN_PUBLIC_FULL_TEXT_LOCATION</x:v>
      </x:c>
      <x:c r="M27" s="7" t="str">
        <x:v>https://www.int-res.com/articles/meps_oa/m615p079.pdf</x:v>
      </x:c>
      <x:c r="N27" s="7" t="str">
        <x:v>VERIFIED_BIBLIOGRAPHIC_DOCUMENT</x:v>
      </x:c>
      <x:c r="O27" s="7" t="str"/>
      <x:c r="P27" s="11" t="str"/>
      <x:c r="Q27" s="7" t="str"/>
      <x:c r="R27" s="7" t="str"/>
      <x:c r="S27" s="7" t="str"/>
      <x:c r="T27" s="7" t="str"/>
      <x:c r="U27" s="7" t="str"/>
      <x:c r="V27" s="7" t="str">
        <x:v>PRODUCTION_CORE_INCLUDE</x:v>
      </x:c>
      <x:c r="W27" s="7" t="str">
        <x:v>PROD-00726</x:v>
      </x:c>
    </x:row>
    <x:row r="28" ht="42" customHeight="1">
      <x:c r="A28" s="17" t="str">
        <x:v>A</x:v>
      </x:c>
      <x:c r="B28" s="7" t="str">
        <x:v>CWC-8A7D3E851AE3</x:v>
      </x:c>
      <x:c r="C28" s="7" t="str">
        <x:v>Sediment tolerance of two different morphotypes of the deep-sea coral Lophelia pertusa from the Gulf of Mexico</x:v>
      </x:c>
      <x:c r="D28" s="7" t="str">
        <x:v>SD Brooke | MW Holmes | CM Young</x:v>
      </x:c>
      <x:c r="E28" s="11" t="str">
        <x:v>2009</x:v>
      </x:c>
      <x:c r="F28" s="7" t="str">
        <x:v>Marine Ecology Progress Series</x:v>
      </x:c>
      <x:c r="G28" s="7" t="str">
        <x:v>article</x:v>
      </x:c>
      <x:c r="H28" s="7" t="str">
        <x:v>10.3354/meps08191</x:v>
      </x:c>
      <x:c r="I28" s="7" t="str">
        <x:v>https://doi.org/10.3354/meps08191</x:v>
      </x:c>
      <x:c r="J28" s="7" t="str">
        <x:v>On the upper slope of the northern Gulf of Mexico, topographic features are often associated with authigenic carbonate, which provides hard substrate for sessile benthic communities. At depths &gt; 300 m, large Lophelia pertusa colonies frequently occur on these carbonate outcroppings. Surficial sediments at these depths are dominated by fine-grained particulates, which are readily resuspended during the episodic high current events that have been documented for the Gulf of Mexico. Colonies of L. pertusa found in the deep Gulf of Mexico exhibit 2 distinct growth forms: the very heavily calcified 'brachycephala' and the more fragile 'gracilis'. The objective of this research was to determine the tolerance of these 2 morphotypes to suspended sediment and to complete burial, using sediment collected from the study region. Results demonstrated that, although both morphotypes of L. pertusa can tolerate fairly heavy sediment conditions, mortality increases rapidly with longer burial or higher sediment loads.</x:v>
      </x:c>
      <x:c r="K28" s="11" t="str">
        <x:v>YES</x:v>
      </x:c>
      <x:c r="L28" s="7" t="str">
        <x:v>FROZEN_PUBLIC_FULL_TEXT_LOCATION</x:v>
      </x:c>
      <x:c r="M28" s="7" t="str">
        <x:v>https://www.int-res.com/articles/meps2009/390/m390p137.pdf</x:v>
      </x:c>
      <x:c r="N28" s="7" t="str">
        <x:v>VERIFIED_BIBLIOGRAPHIC_DOCUMENT</x:v>
      </x:c>
      <x:c r="O28" s="7" t="str"/>
      <x:c r="P28" s="11" t="str"/>
      <x:c r="Q28" s="7" t="str"/>
      <x:c r="R28" s="7" t="str"/>
      <x:c r="S28" s="7" t="str"/>
      <x:c r="T28" s="7" t="str"/>
      <x:c r="U28" s="7" t="str"/>
      <x:c r="V28" s="7" t="str">
        <x:v>PRODUCTION_CORE_INCLUDE</x:v>
      </x:c>
      <x:c r="W28" s="7" t="str">
        <x:v>PROD-00758</x:v>
      </x:c>
    </x:row>
    <x:row r="29" ht="42" customHeight="1">
      <x:c r="A29" s="17" t="str">
        <x:v>A</x:v>
      </x:c>
      <x:c r="B29" s="7" t="str">
        <x:v>CWC-57E2880D8624</x:v>
      </x:c>
      <x:c r="C29" s="7" t="str">
        <x:v>Effects of sediment pulses on the deep‐sea coral Goniocorella dumosa</x:v>
      </x:c>
      <x:c r="D29" s="7" t="str">
        <x:v>Valeria Mobilia | Dianne M. Tracey | Vonda J. Cummings | Malcolm R. Clark | Lisa Woods | James J. Bell</x:v>
      </x:c>
      <x:c r="E29" s="11" t="str">
        <x:v>2023</x:v>
      </x:c>
      <x:c r="F29" s="7" t="str">
        <x:v>New Zealand Journal of Marine and Freshwater Research</x:v>
      </x:c>
      <x:c r="G29" s="7" t="str">
        <x:v>article</x:v>
      </x:c>
      <x:c r="H29" s="7" t="str">
        <x:v>10.1080/00288330.2023.2230154</x:v>
      </x:c>
      <x:c r="I29" s="7" t="str">
        <x:v>https://doi.org/10.1080/00288330.2023.2230154</x:v>
      </x:c>
      <x:c r="J29" s="7" t="str">
        <x:v>ABSTRACT Seabed‐contact activities operating in the deep sea can generate sediment plumes that pose varying levels of threat to benthic fauna. Corals are important components of deep‐sea ecosystems and can be particularly sensitive to elevated suspended sediment concentrations. In this study, we exposed colony fragments of the New Zealand deep‐sea scleractinian Goniocorella dumosa to four‐day pulses of four target sediment concentrations: 0 mg l −1 (representing control conditions) and 45, 102 and 435 mg l −1 (targeting concentrations expected from mining and trawling disturbance). All coral fragments survived. Oxygen consumption rates were not affected by treatments and time. No visible detrimental effects on coral health were noted after the first pulse of sediment exposure. However, both a loss of coenosarc and instances of polyp mortality were observed on fragments exposed to suspended sediments during the following sediment pulses. This observed decline in coral health over time indicates that G. dumosa could cope with sediment disturbance from human activities that disturb the seafloor for periods of up to four days, but that repeated, or prolonged sediment exposure could cause a deterioration in the health condition of this species. This hypothesis should be further investigated in following studies.</x:v>
      </x:c>
      <x:c r="K29" s="11" t="str">
        <x:v>YES</x:v>
      </x:c>
      <x:c r="L29" s="7" t="str">
        <x:v>FROZEN_PUBLIC_FULL_TEXT_LOCATION</x:v>
      </x:c>
      <x:c r="M29" s="7" t="str">
        <x:v>https://figshare.com/articles/journal_contribution/Effects_of_sediment_pulses_on_the_deep-sea_coral_i_Goniocorella_dumosa_i_/23811817</x:v>
      </x:c>
      <x:c r="N29" s="7" t="str">
        <x:v>VERIFIED_BIBLIOGRAPHIC_DOCUMENT</x:v>
      </x:c>
      <x:c r="O29" s="7" t="str"/>
      <x:c r="P29" s="11" t="str"/>
      <x:c r="Q29" s="7" t="str"/>
      <x:c r="R29" s="7" t="str"/>
      <x:c r="S29" s="7" t="str"/>
      <x:c r="T29" s="7" t="str"/>
      <x:c r="U29" s="7" t="str"/>
      <x:c r="V29" s="7" t="str">
        <x:v>PRODUCTION_CORE_INCLUDE</x:v>
      </x:c>
      <x:c r="W29" s="7" t="str">
        <x:v>PROD-00766</x:v>
      </x:c>
    </x:row>
    <x:row r="30" ht="42" customHeight="1">
      <x:c r="A30" s="17" t="str">
        <x:v>A</x:v>
      </x:c>
      <x:c r="B30" s="7" t="str">
        <x:v>CWC-76D1F696686D</x:v>
      </x:c>
      <x:c r="C30" s="7" t="str">
        <x:v>Short-term physiological responses of the New Zealand deep-sea sponge Ecionemia novaezealandiae to elevated concentrations of suspended sediments</x:v>
      </x:c>
      <x:c r="D30" s="7" t="str">
        <x:v>Valeria Mobilia | Vonda J. Cummings | Malcolm R. Clark | Dianne M. Tracey | James J. Bell</x:v>
      </x:c>
      <x:c r="E30" s="11" t="str">
        <x:v>2021</x:v>
      </x:c>
      <x:c r="F30" s="7" t="str">
        <x:v>Journal of Experimental Marine Biology and Ecology</x:v>
      </x:c>
      <x:c r="G30" s="7" t="str">
        <x:v>article</x:v>
      </x:c>
      <x:c r="H30" s="7" t="str">
        <x:v>10.1016/j.jembe.2021.151579</x:v>
      </x:c>
      <x:c r="I30" s="7" t="str">
        <x:v>https://doi.org/10.1016/j.jembe.2021.151579</x:v>
      </x:c>
      <x:c r="J30" s="7" t="str">
        <x:v>Abstract The generation of sediment plumes by human activities, such as bottom fishing and potential deep-sea mining, poses threats to deep-sea benthic fauna. Sponges are important components of deep-sea ecosystems and can be particularly sensitive to elevated suspended sediment concentrations. In this study, we exposed the deep-sea New Zealand sponge Ecionemia novaezealandiae (Dendy, 1924) (Demospongiae: Ancorinidae) to a range of suspended sediment concentrations (SSC) (32, 78 and 475 mg l−1) and control conditions (no added sediment) continuously for two weeks. Survival was high (97%), with only one death (at the highest SSC). Half of the sponges in the 475 mg l−1 treatment showed partial necrosis by the end of the two-week exposure. Respiration rates of sponges in the sediment addition treatments decreased relative to control sponges by 27, 37 and 60%, respectively, after day 1; and by 7, 17, and 27%, respectively, after 14 days of suspended sediment exposure. At the end of the experiment, sectioning of the sponges revealed sediments deep in the tissue of all specimens, including controls, indicating previous incorporation of sediment occurred in their natural environment. Despite the high survival, the decreased respiration rates and partial necrosis with increasing SSC indicated a decline in sponge condition that could affect this species beyond the disturbance period.</x:v>
      </x:c>
      <x:c r="K30" s="11" t="str">
        <x:v>NO</x:v>
      </x:c>
      <x:c r="L30" s="7" t="str">
        <x:v>NOT_CONFIRMED</x:v>
      </x:c>
      <x:c r="M30" s="7" t="str"/>
      <x:c r="N30" s="7" t="str">
        <x:v>VERIFIED_BIBLIOGRAPHIC_DOCUMENT</x:v>
      </x:c>
      <x:c r="O30" s="7" t="str"/>
      <x:c r="P30" s="11" t="str"/>
      <x:c r="Q30" s="7" t="str"/>
      <x:c r="R30" s="7" t="str"/>
      <x:c r="S30" s="7" t="str"/>
      <x:c r="T30" s="7" t="str"/>
      <x:c r="U30" s="7" t="str"/>
      <x:c r="V30" s="7" t="str">
        <x:v>PRODUCTION_CORE_INCLUDE</x:v>
      </x:c>
      <x:c r="W30" s="7" t="str">
        <x:v>PROD-00789</x:v>
      </x:c>
    </x:row>
    <x:row r="31" ht="42" customHeight="1">
      <x:c r="A31" s="17" t="str">
        <x:v>A</x:v>
      </x:c>
      <x:c r="B31" s="7" t="str">
        <x:v>CWC-9D88361B731D</x:v>
      </x:c>
      <x:c r="C31" s="7" t="str">
        <x:v>Metabolic responses of the deep-water sponge Geodia barretti to suspended bottom sediment, simulated mine tailings and drill cuttings</x:v>
      </x:c>
      <x:c r="D31" s="7" t="str">
        <x:v>Tina Kutti | Raymond J. Bannister | Jan Helge Fosså | Cathinka M. Krogness | Ingrid Tjensvoll | Guldborg Søvik</x:v>
      </x:c>
      <x:c r="E31" s="11" t="str">
        <x:v>2015</x:v>
      </x:c>
      <x:c r="F31" s="7" t="str">
        <x:v>Journal of Experimental Marine Biology and Ecology</x:v>
      </x:c>
      <x:c r="G31" s="7" t="str">
        <x:v>article</x:v>
      </x:c>
      <x:c r="H31" s="7" t="str">
        <x:v>10.1016/j.jembe.2015.07.017</x:v>
      </x:c>
      <x:c r="I31" s="7" t="str">
        <x:v>https://doi.org/10.1016/j.jembe.2015.07.017</x:v>
      </x:c>
      <x:c r="J31" s="7" t="str">
        <x:v>Northeast Atlantic sponge beds are recognized as local hotspots for biodiversity and nutrient cycling. Despite their important functional role little is known about their sensitivity to effluents from the expanding hydrocarbon-, mining- and bottom trawling industry. Here, data on physiological and biological responses of the common demosponge Geodia barretti to short (4 h) and long-term (50 day) cyclic exposure of suspended particles are presented. The laboratory study showed that 4 hour pulse exposures with crushed rock particles at 500 mg l(-1) caused a 50% drop in oxygen consumption but with a quick recovery to pre-exposure oxygen consumption once suspended sediment loads returned to background levels. Long-term cyclic exposure (12 h each 24 h) for 29 days caused a permanent drop in oxygen consumption with 60% in sponges exposed to 50 mg l(-1) of crushed rock but with no apparent effect on the energy content of the sponge. Oxygen consumption and energy content of sponges exposed to natural bottom sediments at the same concentration remained unchanged. In conclusion, G. barretti appears to have well developed mechanisms to resist sediment stress, however, the study demonstrated that operations releasing large amounts of suspended crushed rock such as exploration drilling and submarine tailings disposal near sponge beds should be carefully planned to avoid long-term losses of benthic ecosystem functions, such as organic matter re-mineralization. (C) 2015 Elsevier B.V. All rights reserved.</x:v>
      </x:c>
      <x:c r="K31" s="11" t="str">
        <x:v>NO</x:v>
      </x:c>
      <x:c r="L31" s="7" t="str">
        <x:v>NOT_CONFIRMED</x:v>
      </x:c>
      <x:c r="M31" s="7" t="str"/>
      <x:c r="N31" s="7" t="str">
        <x:v>VERIFIED_BIBLIOGRAPHIC_DOCUMENT</x:v>
      </x:c>
      <x:c r="O31" s="7" t="str"/>
      <x:c r="P31" s="11" t="str"/>
      <x:c r="Q31" s="7" t="str"/>
      <x:c r="R31" s="7" t="str"/>
      <x:c r="S31" s="7" t="str"/>
      <x:c r="T31" s="7" t="str"/>
      <x:c r="U31" s="7" t="str"/>
      <x:c r="V31" s="7" t="str">
        <x:v>PRODUCTION_CORE_INCLUDE</x:v>
      </x:c>
      <x:c r="W31" s="7" t="str">
        <x:v>PROD-00849</x:v>
      </x:c>
    </x:row>
    <x:row r="32" ht="42" customHeight="1">
      <x:c r="A32" s="17" t="str">
        <x:v>A</x:v>
      </x:c>
      <x:c r="B32" s="7" t="str">
        <x:v>CWC-68E92EED76A2</x:v>
      </x:c>
      <x:c r="C32" s="7" t="str">
        <x:v>The occurrence of the cold-water coral Lophelia pertusa (Scleractinia) on oil and gas platforms in the North Sea: Colony growth, recruitment and environmental controls on distribution</x:v>
      </x:c>
      <x:c r="D32" s="7" t="str">
        <x:v>Susan E. Gass | J. Murray Roberts</x:v>
      </x:c>
      <x:c r="E32" s="11" t="str">
        <x:v>2005</x:v>
      </x:c>
      <x:c r="F32" s="7" t="str">
        <x:v>Marine Pollution Bulletin</x:v>
      </x:c>
      <x:c r="G32" s="7" t="str">
        <x:v>article</x:v>
      </x:c>
      <x:c r="H32" s="7" t="str">
        <x:v>10.1016/j.marpolbul.2005.10.002</x:v>
      </x:c>
      <x:c r="I32" s="7" t="str">
        <x:v>https://doi.org/10.1016/j.marpolbul.2005.10.002</x:v>
      </x:c>
      <x:c r="J32" s="7" t="str">
        <x:v>This study reports a newly established sub-population of Lophelia pertusa, the dominant reef-framework forming coral species in the north-east Atlantic, on oil and gas platforms in the northern North Sea. L. pertusa was positively identified on 13 of 14 platforms examined using existing oil and gas industry visual inspections. Two platforms were inspected in more detail to examine depth and colony size distributions. We recorded 947 colonies occurring between 59 and 132 in depth that coincides with cold Atlantic water at depths below the summer thermocline in the northern North Sea. We suggest that these colonies provide evidence for a planktonic larval stage of L. pertusa with recruits initially originating from populations in the north-east Atlantic and now self recruiting to the platforms. Size class distribution showed a continuous range of size classes, but with few outlying large colonies. The break between the largest colonies and the rest of the population is considered as the point when colonies began self recruiting to the platforms, resulting in greater colonization success. We present the first documented in situ colony growth rate estimate (26 +/- 5 mm yr(-1)) for L. pertusa based on 15 colonies from the Tern Alpha platform with evidence for yearly recruitment events starting the year the platform was installed. Evidence of contamination from drill muds and cuttings was observed on the Heather platform but appeared limited to regions close to drilling discharge points, where colonies experience partial as well as whole colony mortality. (c) 2005 Elsevier Ltd. All rights reserved.</x:v>
      </x:c>
      <x:c r="K32" s="11" t="str">
        <x:v>NO</x:v>
      </x:c>
      <x:c r="L32" s="7" t="str">
        <x:v>NOT_CONFIRMED</x:v>
      </x:c>
      <x:c r="M32" s="7" t="str"/>
      <x:c r="N32" s="7" t="str">
        <x:v>VERIFIED_BIBLIOGRAPHIC_DOCUMENT</x:v>
      </x:c>
      <x:c r="O32" s="7" t="str"/>
      <x:c r="P32" s="11" t="str"/>
      <x:c r="Q32" s="7" t="str"/>
      <x:c r="R32" s="7" t="str"/>
      <x:c r="S32" s="7" t="str"/>
      <x:c r="T32" s="7" t="str"/>
      <x:c r="U32" s="7" t="str"/>
      <x:c r="V32" s="7" t="str">
        <x:v>PRODUCTION_CORE_INCLUDE</x:v>
      </x:c>
      <x:c r="W32" s="7" t="str">
        <x:v>PROD-00871</x:v>
      </x:c>
    </x:row>
    <x:row r="33" ht="42" customHeight="1">
      <x:c r="A33" s="17" t="str">
        <x:v>A</x:v>
      </x:c>
      <x:c r="B33" s="7" t="str">
        <x:v>CWC-97AB95DDFDBD</x:v>
      </x:c>
      <x:c r="C33" s="7" t="str">
        <x:v>Ecophysiological and behavioural response of juveniles of the Chilean cold-water coral Caryophyllia (Caryophyllia) huinayensis to increasing sediment loads</x:v>
      </x:c>
      <x:c r="D33" s="7" t="str">
        <x:v>Melanie Fähse | Covadonga Orejas | Jürgen Titschack | Günter Försterra | Claudio Richter | Jürgen Laudien</x:v>
      </x:c>
      <x:c r="E33" s="11" t="str">
        <x:v>2023</x:v>
      </x:c>
      <x:c r="F33" s="7" t="str">
        <x:v>Scientific Reports</x:v>
      </x:c>
      <x:c r="G33" s="7" t="str">
        <x:v>article</x:v>
      </x:c>
      <x:c r="H33" s="7" t="str">
        <x:v>10.1038/s41598-023-47116-6</x:v>
      </x:c>
      <x:c r="I33" s="7" t="str">
        <x:v>https://doi.org/10.1038/s41598-023-47116-6</x:v>
      </x:c>
      <x:c r="J33" s="7" t="str">
        <x:v>Chilean Patagonia is a hotspot of biodiversity, harbouring cold-water corals (CWCs) that populate steep walls and overhangs of fjords and channels. Through anthropogenic activities such as deforestation, roadworks, aquafarming and increased landslide frequency, sediment input increases in the fjord region. While the absence of CWCs on moderately steep slopes has been suggested to reflect high vulnerability to sedimentation, experimental evidence has been lacking. Here, we investigated the sensitivity of CWCs to sediment stress, using juvenile Caryophyllia (Caryophyllia) huinayensis as a model. A 12-week aquarium experiment was conducted with three sediment loads: the average natural sediment concentration in Comau Fjord, 100- and 1000-fold higher sediment levels, expected from gravel road use and coastal erosion. Changes in coral mass and calyx dimensions, polyp expansion, tissue retraction and respiration were measured. For CWCs exposed to two and three order of magnitude higher sediment concentrations, 32% and 80% of the animals experienced a decrease in tissue cover, respectively, along with a decrease in respiration rate of 34% and 66%. Under the highest concentration corals showed reduced polyp expansion and a significantly reduced growth of similar to 95% compared to corals at natural concentration. The results show that C.huinayensis is affected by high sediment loads. As human activities that increase sedimentation steadily intensify, coastal planners need to consider detrimental effects on CWCs.</x:v>
      </x:c>
      <x:c r="K33" s="11" t="str">
        <x:v>YES</x:v>
      </x:c>
      <x:c r="L33" s="7" t="str">
        <x:v>FROZEN_PUBLIC_FULL_TEXT_LOCATION</x:v>
      </x:c>
      <x:c r="M33" s="7" t="str">
        <x:v>https://pmc.ncbi.nlm.nih.gov/articles/PMC10700329</x:v>
      </x:c>
      <x:c r="N33" s="7" t="str">
        <x:v>VERIFIED_BIBLIOGRAPHIC_DOCUMENT</x:v>
      </x:c>
      <x:c r="O33" s="7" t="str"/>
      <x:c r="P33" s="11" t="str"/>
      <x:c r="Q33" s="7" t="str"/>
      <x:c r="R33" s="7" t="str"/>
      <x:c r="S33" s="7" t="str"/>
      <x:c r="T33" s="7" t="str"/>
      <x:c r="U33" s="7" t="str"/>
      <x:c r="V33" s="7" t="str">
        <x:v>PRODUCTION_CORE_INCLUDE</x:v>
      </x:c>
      <x:c r="W33" s="7" t="str">
        <x:v>PROD-00921</x:v>
      </x:c>
    </x:row>
    <x:row r="34" ht="42" customHeight="1">
      <x:c r="A34" s="17" t="str">
        <x:v>A</x:v>
      </x:c>
      <x:c r="B34" s="7" t="str">
        <x:v>CWC-BEEEEFF3A865</x:v>
      </x:c>
      <x:c r="C34" s="7" t="str">
        <x:v>What do glass sponges do when no one is looking? Vazella pourtalesii: Responses to sediment deposition, passive locomotion, and contracting behavior</x:v>
      </x:c>
      <x:c r="D34" s="7" t="str">
        <x:v>Jordi Grinyó | Jacopo Aguzzi | Luciano Ortenzi | Ellen Kenchington | Simona Violino | Ulrike Hanz | Andreu Santín | Tim W. Nattkemper | Furu Mienis</x:v>
      </x:c>
      <x:c r="E34" s="11" t="str">
        <x:v>2024</x:v>
      </x:c>
      <x:c r="F34" s="7" t="str">
        <x:v>Deep Sea Research Part I Oceanographic Research Papers</x:v>
      </x:c>
      <x:c r="G34" s="7" t="str">
        <x:v>article</x:v>
      </x:c>
      <x:c r="H34" s="7" t="str">
        <x:v>10.1016/j.dsr.2024.104388</x:v>
      </x:c>
      <x:c r="I34" s="7" t="str">
        <x:v>https://doi.org/10.1016/j.dsr.2024.104388</x:v>
      </x:c>
      <x:c r="J34" s="7" t="str">
        <x:v>Behavioral response of deep-sea sponges can provide crucial insights into the mechanisms shaping energy fluxes and ecosystem functioning. Although some advances have been made, the behavior of deep-sea Hexactinellid still remain widely unknown. In the present study we address the glass sponge Vazella pourtalesii behavior. High- temporal resolution imaging and environmental data were acquired with an autonomous lander deployed in the Sambro Bank Sponge Conservation Area (Scotian Shelf) at a depth of 150 m, representing the upper limit of this deep-sea species' ' distribution and what is commonly regarded as the deep sea. For 94 days, a V. pourtalesii individual was monitored, providing quantitative information on its response to sediment deposition triggered by a storm, as well as on its passive locomotion and contractive behavior. Sediment was cleared from its surface within 72 h, which is highly relevant for its filtering capacity, indicating that this sponge species can cope with high suspended sediment concentrations. This enables it to occur on sedimentary environments like the Scotian Shelf. As observed in other deep-sea hexactinellids, the monitored individual engaged in rhythmic contractions, which appear to be driven by physiological process/es rather than environmental factors. During the study period, strong bottom currents (&gt;37 cm/s) toppled and displaced the monitored individual several times. Despite changes in position and orientation that can negatively impact the filtering capacity of sponges, no signs of deterioration were observed. V. pourtalesii's s vase-like body morphology and attachment to cobbles, as a gravitational center, may allow it to have a more homogeneous interaction with currents which may permit them to better cope with positional changes. Overall, this study highlights that deepsea Porifera display a wide array of phenological changes in response to both biotic and abiotic factors.</x:v>
      </x:c>
      <x:c r="K34" s="11" t="str">
        <x:v>YES</x:v>
      </x:c>
      <x:c r="L34" s="7" t="str">
        <x:v>FROZEN_PUBLIC_FULL_TEXT_LOCATION</x:v>
      </x:c>
      <x:c r="M34" s="7" t="str">
        <x:v>http://dx.doi.org/10.1016/j.dsr.2024.104388</x:v>
      </x:c>
      <x:c r="N34" s="7" t="str">
        <x:v>VERIFIED_BIBLIOGRAPHIC_DOCUMENT</x:v>
      </x:c>
      <x:c r="O34" s="7" t="str"/>
      <x:c r="P34" s="11" t="str"/>
      <x:c r="Q34" s="7" t="str"/>
      <x:c r="R34" s="7" t="str"/>
      <x:c r="S34" s="7" t="str"/>
      <x:c r="T34" s="7" t="str"/>
      <x:c r="U34" s="7" t="str"/>
      <x:c r="V34" s="7" t="str">
        <x:v>PRODUCTION_CORE_INCLUDE</x:v>
      </x:c>
      <x:c r="W34" s="7" t="str">
        <x:v>PROD-01174</x:v>
      </x:c>
    </x:row>
    <x:row r="35" ht="42" customHeight="1">
      <x:c r="A35" s="17" t="str">
        <x:v>A</x:v>
      </x:c>
      <x:c r="B35" s="7" t="str">
        <x:v>CWC-211BD982E48B</x:v>
      </x:c>
      <x:c r="C35" s="7" t="str">
        <x:v>The influence of near-bed hydrodynamic conditions on cold-water corals in the Viosca Knoll area, Gulf of Mexico</x:v>
      </x:c>
      <x:c r="D35" s="7" t="str">
        <x:v>Furu Mienis | Gerard Duineveld | Andrew J. Davies | Steve W. Ross | Harvey Seim | John M. Bane | Tjeerd C.E. van Weering</x:v>
      </x:c>
      <x:c r="E35" s="11" t="str">
        <x:v>2011</x:v>
      </x:c>
      <x:c r="F35" s="7" t="str">
        <x:v>Deep Sea Research Part I Oceanographic Research Papers</x:v>
      </x:c>
      <x:c r="G35" s="7" t="str">
        <x:v>article</x:v>
      </x:c>
      <x:c r="H35" s="7" t="str">
        <x:v>10.1016/j.dsr.2011.10.007</x:v>
      </x:c>
      <x:c r="I35" s="7" t="str">
        <x:v>https://doi.org/10.1016/j.dsr.2011.10.007</x:v>
      </x:c>
      <x:c r="J35" s="7" t="str">
        <x:v>Near-bed hydrodynamic conditions were recorded for almost one year in the Viosca Knoll area (lease block 826), one of the most well-developed cold-water coral habitats in the Gulf of Mexico. Here, a reef-like cold-water coral ecosystem, dominated by the coral Lophelia pertusa, resembles coral habitats found off the southeastern US coast and the North East Atlantic. Two landers were deployed in the vicinity and outside of the coral habitat and measured multiple near-bed parameters, including temperature, salinity, current speed and direction and optical and acoustic backscatter. Additionally, the lander deployed closest to the coral area was equipped with a sediment trap that collected settling particles over the period of deployment at 27 day intervals. Long-term monitoring showed, that in general, environmental parameters, such as temperature (6.5-11.6 degrees C), salinity (34.95-35.4) and current speed (average 8 cm s(-1), peak current speed up to 38 cm s(-1)) largely resembled conditions previously recorded within North East Atlantic coral habitats. Major differences between site VK 826 and coral areas in the NE Atlantic were the much higher particle load, and the origin of the particulate matter. Several significant events occurred during the deployment period beginning with an increase in current speed followed by a gradual increase in temperature and salinity, followed by a rapid decrease in temperature and salinity. Simultaneously with the decrease in temperature and salinity, the direction of the current changed from west to east and cold and less turbid water was transported upslope. The most prominent event occurred in July, when a westward flow lasted over 21 days. These events are consistent with bottom boundary layer dynamics influenced by friction (bottom Ekman layer). The Mississippi River discharges large quantities of sediment and dominates sedimentation regimes in the area. Furthermore, the Mississippi River disperses large amounts of terrestrial organic matter and nutrients, resulting in increased primary productivity, whereby marine organic matter is produced that will sink to the seafloor and can serve as food for the cold-water corals and associated species. As a result mass fluxes from the sediment trap were higher (1120-4479 mg m(-2) day(-1)) than those observed in the North East Atlantic and were highest during periods of westward-flow, which corresponded to warm turbid water. During eastward-flow, colder and less turbid water was pushed upslope, resulting in lower mass fluxes. Trap samples had a low CaCO3, high organic carbon content and high C/N ratios, suggesting a fluvial origin. The high sediment load in the water column can be a limiting factor for coral growth, especially since the corals can be smothered with sediment. However, eastward-flows provided periods of relatively clearer water that can remove sediment from the coral area and allow corals to expel sediment from their polyps. Around Viosca Knoll food supply comes from two possible sources. During April and June several fluorescence peaks were observed near the seabed, showing the arrival of phytodetritus in the area. Furthermore, a consistent diel vertical migration of zooplankton was observed that might provide an additional food source. (C) 2011 Elsevier Ltd. All rights reserved.</x:v>
      </x:c>
      <x:c r="K35" s="11" t="str">
        <x:v>NO</x:v>
      </x:c>
      <x:c r="L35" s="7" t="str">
        <x:v>NOT_CONFIRMED</x:v>
      </x:c>
      <x:c r="M35" s="7" t="str"/>
      <x:c r="N35" s="7" t="str">
        <x:v>VERIFIED_BIBLIOGRAPHIC_DOCUMENT</x:v>
      </x:c>
      <x:c r="O35" s="7" t="str"/>
      <x:c r="P35" s="11" t="str"/>
      <x:c r="Q35" s="7" t="str"/>
      <x:c r="R35" s="7" t="str"/>
      <x:c r="S35" s="7" t="str"/>
      <x:c r="T35" s="7" t="str"/>
      <x:c r="U35" s="7" t="str"/>
      <x:c r="V35" s="7" t="str">
        <x:v>PRODUCTION_CORE_INCLUDE</x:v>
      </x:c>
      <x:c r="W35" s="7" t="str">
        <x:v>PROD-01187</x:v>
      </x:c>
    </x:row>
    <x:row r="36" ht="42" customHeight="1">
      <x:c r="A36" s="17" t="str">
        <x:v>A</x:v>
      </x:c>
      <x:c r="B36" s="7" t="str">
        <x:v>CWC-18DA3B469F99</x:v>
      </x:c>
      <x:c r="C36" s="7" t="str">
        <x:v>Potential impacts of deep-sea trawling on the benthic ecosystem along the Northern European continental margin: a review</x:v>
      </x:c>
      <x:c r="D36" s="7" t="str">
        <x:v>John Gage | J. Murray Roberts | J. P. Hartley | J.D. Humphery</x:v>
      </x:c>
      <x:c r="E36" s="11" t="str">
        <x:v>2005</x:v>
      </x:c>
      <x:c r="F36" s="7" t="str">
        <x:v>BENTHIC HABITATS AND THE EFFECTS OF FISHING</x:v>
      </x:c>
      <x:c r="G36" s="7" t="str">
        <x:v>review</x:v>
      </x:c>
      <x:c r="H36" s="7" t="str"/>
      <x:c r="I36" s="7" t="str">
        <x:v>https://openalex.org/W2615274988</x:v>
      </x:c>
      <x:c r="J36" s="7" t="str">
        <x:v>Little is known of the sensitivities of deep seabed communities to anthropogenic disturbance. We collate and summarize the sparse data related to effects on the seabed of deep-sea trawling and provide a new analysis of potential impacts on the benthic community in this still largely pristine environment. We concentrate particularly on the northern European continental margin. Here, the upper continental slope is now being impacted by new demersal fisheries using aggressive trawling techniques. Direct effects are caused largely by the physical impact of the trawl, where emergent sessile epifauna, such as corals and massive sponges, are particularly vulnerable to damage. Damage to coldwater coral reefs in the northeastern Atlantic is irrecoverable at ecological time scales. Large. semi-buried glacial drop stones are uprooted in heavily trawled areas, impacting their rich covering of sessile epifauna. Seabed photographs suggest that trawl scour marks on soft sediment are widespread and persist longer than those in shallow sediments because of low rates of natural sedimentation. Loss of biogenic habitat complexity in the sediment and destruction or disruption of microhabitat provided by sessile epifaunal organisms caused by dragging trawls over infaunal communities disrupts sediment habitat structure. The scale of such physical impact, including possible smothering effects caused by sediment resuspended by the trawl, is unknown. Physical damage to sediment-rooted sessile epifauna, such as glass sponges, is inferred from seabed photographs, while removal of large motile epibenthic predators may alter community structure and ecosystem processes. Indirect effects on the deep seabed sediment community probably conform to disturbance effects seen in coastal benthos. High species diversity, rich in rare species, make it vulnerable to local-scale species loss. Effects of discards arriving as food falls to the bed are unknown and may cause a shift in the balance of ecological function through expansion of natural scavenger populations. We offer a unifying hypothesis from a deep-sea perspective. Coastal seas currently reflect stages in seabed community modification that predate rigorous scientific studies. Therefore, substantial habitat alteration and change in ecosystem function caused by loss of the most vulnerable, mainly sessile epibenthic species, probably occurred a long time ago. Deep-seabed areas off Europe are now starting to experience this early, probably most visible, stage from a previously pristine state.</x:v>
      </x:c>
      <x:c r="K36" s="11" t="str">
        <x:v>NO</x:v>
      </x:c>
      <x:c r="L36" s="7" t="str">
        <x:v>NOT_CONFIRMED</x:v>
      </x:c>
      <x:c r="M36" s="7" t="str"/>
      <x:c r="N36" s="7" t="str">
        <x:v>VERIFIED_BIBLIOGRAPHIC_DOCUMENT</x:v>
      </x:c>
      <x:c r="O36" s="7" t="str"/>
      <x:c r="P36" s="11" t="str"/>
      <x:c r="Q36" s="7" t="str"/>
      <x:c r="R36" s="7" t="str"/>
      <x:c r="S36" s="7" t="str"/>
      <x:c r="T36" s="7" t="str"/>
      <x:c r="U36" s="7" t="str"/>
      <x:c r="V36" s="7" t="str">
        <x:v>PRODUCTION_CORE_INCLUDE</x:v>
      </x:c>
      <x:c r="W36" s="7" t="str">
        <x:v>PROD-01195</x:v>
      </x:c>
    </x:row>
    <x:row r="37" ht="42" customHeight="1">
      <x:c r="A37" s="17" t="str">
        <x:v>A</x:v>
      </x:c>
      <x:c r="B37" s="7" t="str">
        <x:v>CWC-EF36FAEBFC86</x:v>
      </x:c>
      <x:c r="C37" s="7" t="str">
        <x:v>Sponge reefs in the Queen Charlotte Basin, Canada: controls on distribution, growth and development</x:v>
      </x:c>
      <x:c r="D37" s="7" t="str">
        <x:v>Kim W. Conway | Manfred Krautter | J V Barrie | Frank Whitney | Richard E. Thomson | Henry M. Reiswig | Helmut Lehnert | G. Mungov | Miriam Bertram</x:v>
      </x:c>
      <x:c r="E37" s="11" t="str">
        <x:v>2005</x:v>
      </x:c>
      <x:c r="F37" s="7" t="str">
        <x:v>Cold-Water Corals and Ecosystems</x:v>
      </x:c>
      <x:c r="G37" s="7" t="str">
        <x:v>book-chapter</x:v>
      </x:c>
      <x:c r="H37" s="7" t="str">
        <x:v>10.1007/3-540-27673-4_29</x:v>
      </x:c>
      <x:c r="I37" s="7" t="str">
        <x:v>https://doi.org/10.1007/3-540-27673-4_29</x:v>
      </x:c>
      <x:c r="J37" s="7" t="str">
        <x:v>Sponge reefs in the Queen Charlotte Basin exist at 165-240 m depth within tidally influenced shelf troughs subject to near bottom current velocities of 25-50 cm s(-1) where nutrient supply from coastal runoff is augmented by wind-induced upwelling of nutrient rich water from the adjacent continental slope. Large reef mounds to 21 m in elevation affect tidally driven bottom currents by deflecting water flows through extensive reef complexes that are up to 300 km(2) in area. Three hexactinellid species construct reefs by building a siliceous skeletal framework through several frame-building processes. These sponge reefs exist in waters with 90 to 150 mu M dissolved oxygen, a temperature range of 5.9 to 7.3 degrees C and salinity of 33.2 to 33.9 parts per thousand. Relatively high nutrient levels occur at the reef sites, including silica, which in bottom waters are typically &gt; 40 mu M and may be up to 80 mu M. A high dissolved silica level is potentially an important control on occurrence of these and other dense siliceous sponge populations. The sponge reefs are mainly confined to seafloor areas where exposed iceberg plough marks are common. Sediment accumulation rates are negligible on the relict, glacial surface where the reefs grow, and trapping of flocculated suspended particulate matter by hexactinosidan or framework skeleton hexactinellid sponges accounts for a large proportion of the reef matrix. Suspended sediment concentration is reduced within the nepheloid layer over reef sites suggesting efficient particle trapping by the sponges. The reef matrix sediments are enriched in organic carbon, nitrogen and carbonate, relative to surrounding and underlying sediments. The sponges baffle and trap suspended sediments from water masses, which in one trough have a residence time of approximately 6 days, ensuring a close association of the sponges with the bottom waters. The location of the reef complexes at the heads of canyons provide a means of regionally funnelling particulate material that sponges can trap to enrich their environment with organic carbon and biogenic silica. Like deep-sea coral reefs, the sponge reefs are a remote and poorly known ecosystem that can present logistical challenges and survey costs. Also like deep-sea coral reefs, many of the hexactinosidan sponge reefs have been damaged or destroyed by the groundfish trawl fishery.</x:v>
      </x:c>
      <x:c r="K37" s="11" t="str">
        <x:v>NO</x:v>
      </x:c>
      <x:c r="L37" s="7" t="str">
        <x:v>NOT_CONFIRMED</x:v>
      </x:c>
      <x:c r="M37" s="7" t="str"/>
      <x:c r="N37" s="7" t="str">
        <x:v>VERIFIED_BIBLIOGRAPHIC_DOCUMENT</x:v>
      </x:c>
      <x:c r="O37" s="7" t="str"/>
      <x:c r="P37" s="11" t="str"/>
      <x:c r="Q37" s="7" t="str"/>
      <x:c r="R37" s="7" t="str"/>
      <x:c r="S37" s="7" t="str"/>
      <x:c r="T37" s="7" t="str"/>
      <x:c r="U37" s="7" t="str"/>
      <x:c r="V37" s="7" t="str">
        <x:v>PRODUCTION_CORE_INCLUDE</x:v>
      </x:c>
      <x:c r="W37" s="7" t="str">
        <x:v>PROD-01257</x:v>
      </x:c>
    </x:row>
    <x:row r="38" ht="42" customHeight="1">
      <x:c r="A38" s="17" t="str">
        <x:v>A</x:v>
      </x:c>
      <x:c r="B38" s="7" t="str">
        <x:v>CWC-11E5AC155AAB</x:v>
      </x:c>
      <x:c r="C38" s="7" t="str">
        <x:v>The Magellan mound province in the Porcupine Basin</x:v>
      </x:c>
      <x:c r="D38" s="7" t="str">
        <x:v>Veerle A.I. Huvenne | W. R. Bailey | Patrick M. Shannon | J. Naeth | Rolando di Primio | J.-P. Henriet | Brian Horsfield | H. de Haas | A. Wheeler | Karine Olu</x:v>
      </x:c>
      <x:c r="E38" s="11" t="str">
        <x:v>2005</x:v>
      </x:c>
      <x:c r="F38" s="7" t="str">
        <x:v>International Journal of Earth Sciences</x:v>
      </x:c>
      <x:c r="G38" s="7" t="str">
        <x:v>article</x:v>
      </x:c>
      <x:c r="H38" s="7" t="str">
        <x:v>10.1007/s00531-005-0494-z</x:v>
      </x:c>
      <x:c r="I38" s="7" t="str">
        <x:v>https://doi.org/10.1007/s00531-005-0494-z</x:v>
      </x:c>
      <x:c r="J38" s="7" t="str">
        <x:v>The Magellan mound province is one of the three known provinces of carbonate mounds or cold-water coral banks in the Porcupine Seabight, west of Ireland. It has been studied in detail using a large and varied data set: 2D and 3D seismic data, sidescan sonar imagery and video data collected during ROV deployment have been used to describe the mounds in terms of origin, growth processes and burial. The aim of this paper is to present the Magellan mounds and their setting in an integrated, holistic way. More than 1,000 densely spaced and mainly buried mounds have been identified in the area. They all seem to be rooted on one seismic reflection, suggesting a sudden mound start-up. Their size and spatial distribution characteristics are presented, together with the present-day appearance of the few mounds that reach the seabed. The underlying geology has been studied by means of fault analysis and numerical basin modelling in an attempt to identify possible hydrocarbon migration pathways below or in the surroundings of the Magellan mounds. Although conclusive evidence concerning the processes of mound initiation proves to be elusive, the results of both fault analysis and 2D numerical modelling failed to identify, with confidence, any direct pathways for focused hydrocarbon flow to the Magellan province. Diffuse seepage however may have taken place, as drainage area modelling suggests a possible link between mound position and structural features in the Hovland-Magellan area. During mound development and growth, the interplay of currents and sedimentation seems to have been the most important control. Mounds which could not keep pace with the sedimentation rates were buried, and on the few mounds which maintained growth, only a few corals survive at present.</x:v>
      </x:c>
      <x:c r="K38" s="11" t="str">
        <x:v>YES</x:v>
      </x:c>
      <x:c r="L38" s="7" t="str">
        <x:v>FROZEN_PUBLIC_FULL_TEXT_LOCATION</x:v>
      </x:c>
      <x:c r="M38" s="7" t="str">
        <x:v>https://archimer.ifremer.fr/doc/2007/publication-2312.pdf</x:v>
      </x:c>
      <x:c r="N38" s="7" t="str">
        <x:v>VERIFIED_BIBLIOGRAPHIC_DOCUMENT</x:v>
      </x:c>
      <x:c r="O38" s="7" t="str"/>
      <x:c r="P38" s="11" t="str"/>
      <x:c r="Q38" s="7" t="str"/>
      <x:c r="R38" s="7" t="str"/>
      <x:c r="S38" s="7" t="str"/>
      <x:c r="T38" s="7" t="str"/>
      <x:c r="U38" s="7" t="str"/>
      <x:c r="V38" s="7" t="str">
        <x:v>PRODUCTION_CORE_INCLUDE</x:v>
      </x:c>
      <x:c r="W38" s="7" t="str">
        <x:v>PROD-01703</x:v>
      </x:c>
    </x:row>
    <x:row r="39" ht="42" customHeight="1">
      <x:c r="A39" s="17" t="str">
        <x:v>A</x:v>
      </x:c>
      <x:c r="B39" s="7" t="str">
        <x:v>CWC-3E49252B4405</x:v>
      </x:c>
      <x:c r="C39" s="7" t="str">
        <x:v>Cold-water coral banks and submarine landslides: a review</x:v>
      </x:c>
      <x:c r="D39" s="7" t="str">
        <x:v>Ben De Mol | Veerle A.I. Huvenne | Miquel Canals</x:v>
      </x:c>
      <x:c r="E39" s="11" t="str">
        <x:v>2008</x:v>
      </x:c>
      <x:c r="F39" s="7" t="str">
        <x:v>International Journal of Earth Sciences</x:v>
      </x:c>
      <x:c r="G39" s="7" t="str">
        <x:v>article</x:v>
      </x:c>
      <x:c r="H39" s="7" t="str">
        <x:v>10.1007/s00531-008-0372-6</x:v>
      </x:c>
      <x:c r="I39" s="7" t="str">
        <x:v>https://doi.org/10.1007/s00531-008-0372-6</x:v>
      </x:c>
      <x:c r="J39" s="7" t="str">
        <x:v>This paper aims to review the relation between cold-water coral bank development and submarine landslides. Both are common features on continental margins, but so far it has not been reviewed which effect-if at all-they may have upon each other. Indirect and direct relations between coral banks and landslides are evaluated here, based on four case studies: the Magellan Mound Province in the Porcupine Seabight, where fossil coral banks appear partly on top of a buried slide deposit; the Sula Ridge Reef Complex and the Storegga landslide both off mid-Norway; and the Mauritania coral bank province, associated with the Mauritanian Slide Complex. For each of these locations, positive and negative relationships between both features are discussed, based on available datasets. Locally submarine landslides might directly favour coral bank development by creating substratum where corals can settle on, enhancing turbulence due to abrupt seabed morphological variations and, in some cases, causing fluid seepage. In turn, some of these processes may contribute to increased food availability and lower sedimentation rates. Landslides can also affect coral bank development by direct erosion of the coral banks, and by the instantaneous increase of turbidity, which may smother the corals. On the other hand, coral banks might have a stabilising function and delay or stop the headwall retrogradation of submarine landslides. Although local relationships can be deduced from these case studies, no general and direct relationship exists between submarine landslides and cold-water coral banks.</x:v>
      </x:c>
      <x:c r="K39" s="11" t="str">
        <x:v>NO</x:v>
      </x:c>
      <x:c r="L39" s="7" t="str">
        <x:v>NOT_CONFIRMED</x:v>
      </x:c>
      <x:c r="M39" s="7" t="str"/>
      <x:c r="N39" s="7" t="str">
        <x:v>VERIFIED_BIBLIOGRAPHIC_DOCUMENT</x:v>
      </x:c>
      <x:c r="O39" s="7" t="str"/>
      <x:c r="P39" s="11" t="str"/>
      <x:c r="Q39" s="7" t="str"/>
      <x:c r="R39" s="7" t="str"/>
      <x:c r="S39" s="7" t="str"/>
      <x:c r="T39" s="7" t="str"/>
      <x:c r="U39" s="7" t="str"/>
      <x:c r="V39" s="7" t="str">
        <x:v>PRODUCTION_CORE_INCLUDE</x:v>
      </x:c>
      <x:c r="W39" s="7" t="str">
        <x:v>PROD-01849</x:v>
      </x:c>
    </x:row>
    <x:row r="40" ht="42" customHeight="1">
      <x:c r="A40" s="17" t="str">
        <x:v>A</x:v>
      </x:c>
      <x:c r="B40" s="7" t="str">
        <x:v>CWC-5AA3C1A61D7F</x:v>
      </x:c>
      <x:c r="C40" s="7" t="str">
        <x:v>Reproductive Seasonality of the Antarctic Sea Pen Malacobelemnon daytoni (Octocorallia, Pennatulacea, Kophobelemnidae)</x:v>
      </x:c>
      <x:c r="D40" s="7" t="str">
        <x:v>Natalia Servetto | Ricardo Sahade</x:v>
      </x:c>
      <x:c r="E40" s="11" t="str">
        <x:v>2016</x:v>
      </x:c>
      <x:c r="F40" s="7" t="str">
        <x:v>PLoS ONE</x:v>
      </x:c>
      <x:c r="G40" s="7" t="str">
        <x:v>article</x:v>
      </x:c>
      <x:c r="H40" s="7" t="str">
        <x:v>10.1371/journal.pone.0163152</x:v>
      </x:c>
      <x:c r="I40" s="7" t="str">
        <x:v>https://doi.org/10.1371/journal.pone.0163152</x:v>
      </x:c>
      <x:c r="J40" s="7" t="str">
        <x:v>The pennatulid Malacobelemnon daytoni is one of the dominant species in Potter Cove, Antarctica. Its abundance and range of distribution have increased in recent years probably related to climate change mediated alterations of environmental factors. This work is the second part of a study dealing on the reproductive ecology of Malacobelemnon daytoni, and aims to assess its reproductive seasonality over a two-year period. Sampling was carried out every month during 2009-2010 and samples were examined by histological analysis. Gametogenesis exhibited a seasonal pattern evidenced by the maturity stage index (MSI) and the number of mature oocytes and cysts throughout the year. Immature oocytes and spermatocytes were present year-round, but maturation was seasonal and it seems that more than one spawning per year was possible. These spawnings could be more linked with suspended particulate matter (SPM) (probably available via resuspension events) than with primary production pulses. This idea reinforces the hypothesis that winter time is not so stressful, in energy terms, in Potter Cove, which seems to depend on energy sources other than local phytoplankton production. There was not a strong inter-annual variability between the reproductive characteristics analyzed in 2009 and 2010; the only variable different was the size of oocytes (higher in 2009), suggesting different energy availability in each year, related with a higher concentration of SPM in 2009 (although it was not significant). Malacobelemnon daytoni could be the first reported Antarctic suspension feeder species that presents a reproductive cycle with more than a spawning event per year. This strategy would help to explain the success of this species in the Potter Cove ecosystem and in high ice-impacted areas.</x:v>
      </x:c>
      <x:c r="K40" s="11" t="str">
        <x:v>YES</x:v>
      </x:c>
      <x:c r="L40" s="7" t="str">
        <x:v>FROZEN_PUBLIC_FULL_TEXT_LOCATION</x:v>
      </x:c>
      <x:c r="M40" s="7" t="str">
        <x:v>https://journals.plos.org/plosone/article/file?id=10.1371/journal.pone.0163152&amp;type=printable</x:v>
      </x:c>
      <x:c r="N40" s="7" t="str">
        <x:v>VERIFIED_BIBLIOGRAPHIC_DOCUMENT</x:v>
      </x:c>
      <x:c r="O40" s="7" t="str"/>
      <x:c r="P40" s="11" t="str"/>
      <x:c r="Q40" s="7" t="str"/>
      <x:c r="R40" s="7" t="str"/>
      <x:c r="S40" s="7" t="str"/>
      <x:c r="T40" s="7" t="str"/>
      <x:c r="U40" s="7" t="str"/>
      <x:c r="V40" s="7" t="str">
        <x:v>PRODUCTION_CORE_INCLUDE</x:v>
      </x:c>
      <x:c r="W40" s="7" t="str">
        <x:v>PROD-01882</x:v>
      </x:c>
    </x:row>
    <x:row r="41" ht="42" customHeight="1">
      <x:c r="A41" s="17" t="str">
        <x:v>A</x:v>
      </x:c>
      <x:c r="B41" s="7" t="str">
        <x:v>CWC-FCEF2BEBFA85</x:v>
      </x:c>
      <x:c r="C41" s="7" t="str">
        <x:v>Vulnerability of six cold-water corals to sediment resuspension from bottom trawling fishing</x:v>
      </x:c>
      <x:c r="D41" s="7" t="str">
        <x:v>Meri Bilan | Andrea Gori | Jordi Grinyó | Marina Biel‐Cabanelas | Xènia Puigcerver-Segarra | Andreu Santín | Stefano Piraino | Sérgio Rossi | Pere Puig</x:v>
      </x:c>
      <x:c r="E41" s="11" t="str">
        <x:v>2023</x:v>
      </x:c>
      <x:c r="F41" s="7" t="str">
        <x:v>Marine Pollution Bulletin</x:v>
      </x:c>
      <x:c r="G41" s="7" t="str">
        <x:v>article</x:v>
      </x:c>
      <x:c r="H41" s="7" t="str">
        <x:v>10.1016/j.marpolbul.2023.115423</x:v>
      </x:c>
      <x:c r="I41" s="7" t="str">
        <x:v>https://doi.org/10.1016/j.marpolbul.2023.115423</x:v>
      </x:c>
      <x:c r="J41" s="7" t="str">
        <x:v>Bottom trawling can significantly affect benthic communities, directly through immediate removal of sessile organisms and indirectly through sediment resuspension. Submarine canyons, often surrounded by fishing grounds, are important habitats for cold-water corals (CWC). Vulnerability of CWCs to increased suspended sediment concentration (SSC) is key to understanding the severity of bottom trawling effects on those communities. Here we show survival, growth, and physiological response of six CWCs from a Mediterranean submarine canyon (Dendrophyllia cornigera, Desmophyllum dianthus, Desmophyllum pertusum, Madrepora oculata, Leiopathes glaberrima and Muriceides lepida), exposed to a long-term, aquarium-based sedimentary disturbance experiment. Compared to cup coral and octocoral, which did not exhibit symptoms of distress, our data indicate that colonial scleractinian corals and black coral, which experienced substantial polyp mortality in enhanced SSC treatments, are more vulnerable. Indirect impact of bottom trawling could thus contribute to structural simplification of CWC communities posing an additional stressor alongside with global climate change.</x:v>
      </x:c>
      <x:c r="K41" s="11" t="str">
        <x:v>YES</x:v>
      </x:c>
      <x:c r="L41" s="7" t="str">
        <x:v>FROZEN_PUBLIC_FULL_TEXT_LOCATION</x:v>
      </x:c>
      <x:c r="M41" s="7" t="str">
        <x:v>https://doi.org/10.1016/j.marpolbul.2023.115423</x:v>
      </x:c>
      <x:c r="N41" s="7" t="str">
        <x:v>VERIFIED_BIBLIOGRAPHIC_DOCUMENT</x:v>
      </x:c>
      <x:c r="O41" s="7" t="str"/>
      <x:c r="P41" s="11" t="str"/>
      <x:c r="Q41" s="7" t="str"/>
      <x:c r="R41" s="7" t="str"/>
      <x:c r="S41" s="7" t="str"/>
      <x:c r="T41" s="7" t="str"/>
      <x:c r="U41" s="7" t="str"/>
      <x:c r="V41" s="7" t="str">
        <x:v>PRODUCTION_CORE_INCLUDE</x:v>
      </x:c>
      <x:c r="W41" s="7" t="str">
        <x:v>PROD-01885</x:v>
      </x:c>
    </x:row>
    <x:row r="42" ht="42" customHeight="1">
      <x:c r="A42" s="17" t="str">
        <x:v>A</x:v>
      </x:c>
      <x:c r="B42" s="7" t="str">
        <x:v>CWC-E657DF58DD0D</x:v>
      </x:c>
      <x:c r="C42" s="7" t="str">
        <x:v>Detecting the impacts on UK sublittoral rock communities of resuspended sediments from fishing activity</x:v>
      </x:c>
      <x:c r="D42" s="7" t="str">
        <x:v>Hayley Hinchen | Jennifer Gallyot | Anita Carter | Matthew Ferguson | Karen E. Webb | Mike Nelson | Chris Jenkins</x:v>
      </x:c>
      <x:c r="E42" s="11" t="str">
        <x:v>2021</x:v>
      </x:c>
      <x:c r="F42" s="7" t="str">
        <x:v>Ecological Indicators</x:v>
      </x:c>
      <x:c r="G42" s="7" t="str">
        <x:v>article</x:v>
      </x:c>
      <x:c r="H42" s="7" t="str">
        <x:v>10.1016/j.ecolind.2021.107545</x:v>
      </x:c>
      <x:c r="I42" s="7" t="str">
        <x:v>https://doi.org/10.1016/j.ecolind.2021.107545</x:v>
      </x:c>
      <x:c r="J42" s="7" t="str">
        <x:v>Abstract Sublittoral rocky reef habitats host important ecological communities in UK waters, but their ecological condition is difficult to monitor. Monitoring methods based on seabed imagery data are prone to inconsistencies in both the identification and enumeration of species, which is a major hurdle in detecting meaningful ecological change. To overcome this problem, our study used a single monitoring dataset, collected using one standard method at the Pisces Reef Marine Protected Area (MPA) in 2016. We identified which method of data extraction from seabed imagery is best able to detect change along a gradient of anthropogenic resuspended sediments, which represents a pressure on the epifaunal community. We modelled the spatial distribution of the pressure, caused by nearby fishing activity, using an approach based on individual Vessel Monitoring System (VMS) ping data, rather than spatially homogenised data aggregated to a grid cell. We found that up to 22% of the biological variability across the three reef areas within the MPA is explained by the measured and derived environmental variables. The response of the epibenthic community at Pisces Reef MPA to the resuspended sediments pressure gradient is masked by commonly used univariate metrics such as species diversity and abundance of individuals. Conversely, a Threshold Indicator Taxa Analysis (TITAN) identifies community-level change caused by a low level of modelled resuspended sediments pressure. We found that a 0.05 decimal degree grid cell of seabed within 1 km of the MPA boundary, swept by demersal fishing gear as little as five times per year on average, can elicit such a community response. The data extraction metric best able to detect this change in the sublittoral rock community is the frequency of occurrence of taxa in images with an average field of view of 0.7 m2, using a 25-cell grid. More traditional metrics extracted from seabed imagery, such as raw counts and percentage cover estimates, are less sensitive to detecting such community change. The TITAN also identified taxon-level responses to the pressure gradient that could be considered for future monitoring programmes. The solitary coral genus Caryophyllia and cup-like sponges show a sharp and strong negative response to pressure exposure, and could represent a starting point for a future monitoring programme of UK sublittoral rock habitats. The implications for future monitoring are discussed, including survey design, environmental and biological data collection and improved pressure modelling.</x:v>
      </x:c>
      <x:c r="K42" s="11" t="str">
        <x:v>YES</x:v>
      </x:c>
      <x:c r="L42" s="7" t="str">
        <x:v>FROZEN_PUBLIC_FULL_TEXT_LOCATION</x:v>
      </x:c>
      <x:c r="M42" s="7" t="str">
        <x:v>https://www.sciencedirect.com/science/article/pii/S1470160X21002107/pdf</x:v>
      </x:c>
      <x:c r="N42" s="7" t="str">
        <x:v>VERIFIED_BIBLIOGRAPHIC_DOCUMENT</x:v>
      </x:c>
      <x:c r="O42" s="7" t="str"/>
      <x:c r="P42" s="11" t="str"/>
      <x:c r="Q42" s="7" t="str"/>
      <x:c r="R42" s="7" t="str"/>
      <x:c r="S42" s="7" t="str"/>
      <x:c r="T42" s="7" t="str"/>
      <x:c r="U42" s="7" t="str"/>
      <x:c r="V42" s="7" t="str">
        <x:v>PRODUCTION_CORE_INCLUDE</x:v>
      </x:c>
      <x:c r="W42" s="7" t="str">
        <x:v>PROD-01887</x:v>
      </x:c>
    </x:row>
    <x:row r="43" ht="42" customHeight="1">
      <x:c r="A43" s="17" t="str">
        <x:v>A</x:v>
      </x:c>
      <x:c r="B43" s="7" t="str">
        <x:v>CWC-58FA17825B7F</x:v>
      </x:c>
      <x:c r="C43" s="7" t="str">
        <x:v>Mine Waste and Acute Warming Induce Energetic Stress in the Deep-Sea Sponge Geodia atlantica and Coral Primnoa resedeaformis; Results From a Mesocosm Study</x:v>
      </x:c>
      <x:c r="D43" s="7" t="str">
        <x:v>Elliot Scanes | Tina Kutti | James Kar‐Hei Fang | Emma L. Johnston | Pauline M. Ross | Raymond J. Bannister</x:v>
      </x:c>
      <x:c r="E43" s="11" t="str">
        <x:v>2018</x:v>
      </x:c>
      <x:c r="F43" s="7" t="str">
        <x:v>Frontiers in Marine Science</x:v>
      </x:c>
      <x:c r="G43" s="7" t="str">
        <x:v>article</x:v>
      </x:c>
      <x:c r="H43" s="7" t="str">
        <x:v>10.3389/fmars.2018.00129</x:v>
      </x:c>
      <x:c r="I43" s="7" t="str">
        <x:v>https://doi.org/10.3389/fmars.2018.00129</x:v>
      </x:c>
      <x:c r="J43" s="7" t="str">
        <x:v>There is the potential for climate change to interact with pollution in all of the Earth's oceans. In the fjords of Norway, mine tailings are released into fjords generating suspended sediment plumes that impact deep-sea ecosystems. These same deep-sea ecosystems are expected to undergo periodic warming as climate change increases the frequency of down-welling events in fjords. It remains unknown how a polluted deep-sea ecosystem would respond to down-welling because multiple stressors will often interact in unpredictable ways. Here, we exposed two deep-sea foundation species; the gorgonian coral Primnoa resedaeformis and the demosponge Geodia atlantica to suspended sediment (10 mg L-1) and acute warming (+5 degrees C) in a factorial mesocosm experiment for 40 days. Physiology (respiration, nutrient flux) and cellular responses (lysosomal cell stability) were measured for both the coral and sponge. Exposure to elevated suspended sediment reduced metabolism, supressed silicate uptake and induced cellular instability of the sponge G. atlantica. However, combining sediment with warming caused G. atlantica to respire and excrete nitrogen at a greater rate. For the coral P resedaeformis, suspended sediments reduced O:N ratios after 40 days, however, warming had a greater effect on P resedaeformis physiology compared to sediment. Warming increased respiration, nitrogen excretion, and cellular instability which resulted in lower O:N ratios. We argue that suspended sediment and warming can act alone and also interact to cause significant harm to deep-sea biota, however responses are likely to be species-specific. Warming and pollution could interact in the deep-sea to cause mortality to the coral P resedaeformis and to a lesser extent, the sponge G. atlantica. As foundation species, reducing the abundance of deep sea corals and sponges would likely impact the ecosystems they support.</x:v>
      </x:c>
      <x:c r="K43" s="11" t="str">
        <x:v>YES</x:v>
      </x:c>
      <x:c r="L43" s="7" t="str">
        <x:v>FROZEN_PUBLIC_FULL_TEXT_LOCATION</x:v>
      </x:c>
      <x:c r="M43" s="7" t="str">
        <x:v>https://www.frontiersin.org/journals/marine-science/articles/10.3389/fmars.2018.00129</x:v>
      </x:c>
      <x:c r="N43" s="7" t="str">
        <x:v>VERIFIED_BIBLIOGRAPHIC_DOCUMENT</x:v>
      </x:c>
      <x:c r="O43" s="7" t="str"/>
      <x:c r="P43" s="11" t="str"/>
      <x:c r="Q43" s="7" t="str"/>
      <x:c r="R43" s="7" t="str"/>
      <x:c r="S43" s="7" t="str"/>
      <x:c r="T43" s="7" t="str"/>
      <x:c r="U43" s="7" t="str"/>
      <x:c r="V43" s="7" t="str">
        <x:v>PRODUCTION_CORE_INCLUDE</x:v>
      </x:c>
      <x:c r="W43" s="7" t="str">
        <x:v>PROD-01901</x:v>
      </x:c>
    </x:row>
    <x:row r="44" ht="42" customHeight="1">
      <x:c r="A44" s="17" t="str">
        <x:v>A</x:v>
      </x:c>
      <x:c r="B44" s="7" t="str">
        <x:v>CWC-51CF373DE179</x:v>
      </x:c>
      <x:c r="C44" s="7" t="str">
        <x:v>Assessment of Cu sub-lethal toxicity (LC50) in the cold-water gorgonian Dentomuricea meteor under a deep-sea mining activity scenario</x:v>
      </x:c>
      <x:c r="D44" s="7" t="str">
        <x:v>Inês Martins | António Godinho | Joana Goulart | Marina Carreiro‐Silva</x:v>
      </x:c>
      <x:c r="E44" s="11" t="str">
        <x:v>2018</x:v>
      </x:c>
      <x:c r="F44" s="7" t="str">
        <x:v>Environmental Pollution</x:v>
      </x:c>
      <x:c r="G44" s="7" t="str">
        <x:v>article</x:v>
      </x:c>
      <x:c r="H44" s="7" t="str">
        <x:v>10.1016/j.envpol.2018.05.040</x:v>
      </x:c>
      <x:c r="I44" s="7" t="str">
        <x:v>https://doi.org/10.1016/j.envpol.2018.05.040</x:v>
      </x:c>
      <x:c r="J44" s="7" t="str">
        <x:v>Previous aquaria-based experiments have shown dissolution and leaching of metals, especially copper (Cu), from the simulated sediment plumes generated during mining activities resulting in a pronounced increase of Cu contamination in the surrounding seawater. Metals are bioavailable to corals with food, through ingestion (particulate phase) and through tissue-facilitated transport (passive diffusion). With corals being particularly vulnerable to metal contamination, resuspension of metal-bearing sediments during mining activities represents an important ecological threat. This study was undertaken to evaluate the impact of acute copper exposure (LC50:06h ) on the survival of the cold-water octocoral Dentomuricea aff. meteor. The experimental design was divided in two stages. In stage one, a Cu range-finding toxicity test was performed using Cu dilutions in filtered seawater with concentrations of 0 (control); 60; 150; 250; 450; 600 mu g/L. Coral mortality was investigated visually based on the percent surface area of tissue changing from natural yellow colour to black colour indicative of tissue necrosis and death. In stage two, we used the results obtained in the range-finding experiment, to define sub-lethal Cu exposure treatments and exposed D. meteor to Cu concentration of 0 (control); 50; 100; 150; 200; 250 mu g/L for 96 h. The corals physical conditions were inspected daily and seawater conditions recorded. Corals were considered dead when all of their tissue turned black. The LC50 value was calculated with regression analysis following Probits methodology. Our results indicate that Cu LC50:96 h for the octocoral D. meteor is 137 mu g/L. (C) 2018 Elsevier Ltd. All rights reserved.</x:v>
      </x:c>
      <x:c r="K44" s="11" t="str">
        <x:v>NO</x:v>
      </x:c>
      <x:c r="L44" s="7" t="str">
        <x:v>NOT_CONFIRMED</x:v>
      </x:c>
      <x:c r="M44" s="7" t="str"/>
      <x:c r="N44" s="7" t="str">
        <x:v>VERIFIED_BIBLIOGRAPHIC_DOCUMENT</x:v>
      </x:c>
      <x:c r="O44" s="7" t="str"/>
      <x:c r="P44" s="11" t="str"/>
      <x:c r="Q44" s="7" t="str"/>
      <x:c r="R44" s="7" t="str"/>
      <x:c r="S44" s="7" t="str"/>
      <x:c r="T44" s="7" t="str"/>
      <x:c r="U44" s="7" t="str"/>
      <x:c r="V44" s="7" t="str">
        <x:v>PRODUCTION_CORE_INCLUDE</x:v>
      </x:c>
      <x:c r="W44" s="7" t="str">
        <x:v>PROD-01919</x:v>
      </x:c>
    </x:row>
    <x:row r="45" ht="42" customHeight="1">
      <x:c r="A45" s="17" t="str">
        <x:v>A</x:v>
      </x:c>
      <x:c r="B45" s="7" t="str">
        <x:v>CWC-66237F4DDA16</x:v>
      </x:c>
      <x:c r="C45" s="7" t="str">
        <x:v>Rapid respiratory responses of the deep-water sponge Geodia barretti exposed to suspended sediments</x:v>
      </x:c>
      <x:c r="D45" s="7" t="str">
        <x:v>Tjensvoll, I | Kutti, T | Fosså, JH | Bannister, RJ</x:v>
      </x:c>
      <x:c r="E45" s="11" t="str">
        <x:v>2013</x:v>
      </x:c>
      <x:c r="F45" s="7" t="str">
        <x:v>AQUATIC BIOLOGY</x:v>
      </x:c>
      <x:c r="G45" s="7" t="str">
        <x:v>JOUR</x:v>
      </x:c>
      <x:c r="H45" s="7" t="str">
        <x:v>10.3354/ab00522</x:v>
      </x:c>
      <x:c r="I45" s="7" t="str">
        <x:v>https://doi.org/10.3354/ab00522</x:v>
      </x:c>
      <x:c r="J45" s="7" t="str">
        <x:v>Sponges often dominate deep-water benthic faunal communities and can comprise up to 90% of the benthic biomass. Due to the large amount of water that they filter daily, sponges are an important link between benthic and pelagic ecosystems. Across the Tromso-flaket, Barents Sea, Norway, there are high biomasses of deep-water sponges. This area is also an important fishing ground, with fishing activity in some areas &gt;27000 trawl hours yr(-1). Bottom trawling suspends large quantities of sediment into the water column, with measured concentrations up to 500 mg l(-1). This is the first study on the effects of suspended sediment exposure on deep-water sponges. In a laboratory experiment, Geodia barretti (Bowerbank 1858) (Class: Demospongiae) was exposed to 5 different sediment concentrations (0, 10, 50, 100 and 500 mg l(-1)). Respiration rates were measured before, during and after the exposure period. The results demonstrate that G. barretti physiologically shuts down when exposed to concentrations of 100 mg l(-1) (86% reduction in respiration), with thresholds of responses occurring between 10 to 50 mg l(-1). However, rapid recovery to initial respiration levels directly after the exposure indicates that G. barretti can cope with a single short exposure to elevated sediment concentrations. Given the high bottom-trawling frequency in Tromso-flaket, sponges may be frequently exposed to suspended sediments. Therefore, it is important that further investigations on the effects of suspended sediments on filter feeding organisms focus on the effects of repeated and long-term suspended sediment exposures to evaluate the overall ecological impacts.</x:v>
      </x:c>
      <x:c r="K45" s="11" t="str">
        <x:v>NO</x:v>
      </x:c>
      <x:c r="L45" s="7" t="str">
        <x:v>NOT_CONFIRMED</x:v>
      </x:c>
      <x:c r="M45" s="7" t="str"/>
      <x:c r="N45" s="7" t="str">
        <x:v>VERIFIED_BIBLIOGRAPHIC_DOCUMENT</x:v>
      </x:c>
      <x:c r="O45" s="7" t="str"/>
      <x:c r="P45" s="11" t="str"/>
      <x:c r="Q45" s="7" t="str"/>
      <x:c r="R45" s="7" t="str"/>
      <x:c r="S45" s="7" t="str"/>
      <x:c r="T45" s="7" t="str"/>
      <x:c r="U45" s="7" t="str"/>
      <x:c r="V45" s="7" t="str">
        <x:v>PRODUCTION_CORE_INCLUDE</x:v>
      </x:c>
      <x:c r="W45" s="7" t="str">
        <x:v>PROD-01928</x:v>
      </x:c>
    </x:row>
    <x:row r="46" ht="42" customHeight="1">
      <x:c r="A46" s="17" t="str">
        <x:v>A</x:v>
      </x:c>
      <x:c r="B46" s="7" t="str">
        <x:v>CWC-332FE8900EB6</x:v>
      </x:c>
      <x:c r="C46" s="7" t="str">
        <x:v>Sponge biodiversity of Rathlin Island, Northern Ireland</x:v>
      </x:c>
      <x:c r="D46" s="7" t="str">
        <x:v>Picton, BE | Goodwin, CE</x:v>
      </x:c>
      <x:c r="E46" s="11" t="str">
        <x:v>2007</x:v>
      </x:c>
      <x:c r="F46" s="7" t="str">
        <x:v>JOURNAL OF THE MARINE BIOLOGICAL ASSOCIATION OF THE UNITED KINGDOM</x:v>
      </x:c>
      <x:c r="G46" s="7" t="str">
        <x:v>JOUR</x:v>
      </x:c>
      <x:c r="H46" s="7" t="str">
        <x:v>10.1017/s0025315407058122</x:v>
      </x:c>
      <x:c r="I46" s="7" t="str">
        <x:v>https://doi.org/10.1017/s0025315407058122</x:v>
      </x:c>
      <x:c r="J46" s="7" t="str">
        <x:v>Sponges from Rathlin Island, Northern Ireland were sampled during a six week SCUBA diving expedition. One hundred and twenty-eight species were recorded, 29 of which were previously undescribed. With previous records a total of 134 species are now known from Rathlin, the richness of its sponge community makes it a key site for sponges in Europe. Eight new species are described: Axinella parva, Spongosorites calcicola, Crella plana, Phorbas punctata, Lissodendoryx (Ectyodoryx) jenjonesae, Antho (Antho) granditoxa, Hymeraphia breeni and Hymeraphia elongata and information is given on the poorly known species Axinella pyramidata, Myxilla (Styloptilon) ancoratum, Antho (Antho) brattegardi, Clathria (Microciona) laevis and Plocamionida tylotata. Extension of the range of Hexadella racovitzai is discussed. A small bay of particularly high nature conservation importance for sponges was identified, many of the rarer species were limited to this area. Sponge populations on the east coast of Rathlin seem to have been damaged by dredging.</x:v>
      </x:c>
      <x:c r="K46" s="11" t="str">
        <x:v>NO</x:v>
      </x:c>
      <x:c r="L46" s="7" t="str">
        <x:v>NOT_CONFIRMED</x:v>
      </x:c>
      <x:c r="M46" s="7" t="str"/>
      <x:c r="N46" s="7" t="str">
        <x:v>VERIFIED_BIBLIOGRAPHIC_DOCUMENT</x:v>
      </x:c>
      <x:c r="O46" s="7" t="str"/>
      <x:c r="P46" s="11" t="str"/>
      <x:c r="Q46" s="7" t="str"/>
      <x:c r="R46" s="7" t="str"/>
      <x:c r="S46" s="7" t="str"/>
      <x:c r="T46" s="7" t="str"/>
      <x:c r="U46" s="7" t="str"/>
      <x:c r="V46" s="7" t="str">
        <x:v>PRODUCTION_CORE_INCLUDE</x:v>
      </x:c>
      <x:c r="W46" s="7" t="str">
        <x:v>PROD-01967</x:v>
      </x:c>
    </x:row>
    <x:row r="47" ht="42" customHeight="1">
      <x:c r="A47" s="17" t="str">
        <x:v>A</x:v>
      </x:c>
      <x:c r="B47" s="7" t="str">
        <x:v>CWC-3402E0944343</x:v>
      </x:c>
      <x:c r="C47" s="7" t="str">
        <x:v>Sedimentation in McMurdo Sound, Antarctica: a disturbance mechanism for benthic invertebrates</x:v>
      </x:c>
      <x:c r="D47" s="7" t="str">
        <x:v>Marc Slattery | Dan. Bockus</x:v>
      </x:c>
      <x:c r="E47" s="11" t="str">
        <x:v>1997</x:v>
      </x:c>
      <x:c r="F47" s="7" t="str">
        <x:v>Polar Biology</x:v>
      </x:c>
      <x:c r="G47" s="7" t="str">
        <x:v>article</x:v>
      </x:c>
      <x:c r="H47" s="7" t="str">
        <x:v>10.1007/s003000050174</x:v>
      </x:c>
      <x:c r="I47" s="7" t="str">
        <x:v>https://doi.org/10.1007/s003000050174</x:v>
      </x:c>
      <x:c r="J47" s="7" t="str">
        <x:v>A slumping event that occurred on permanent transect lines from 12- to 30-m depth located at Arrival Heights, McMurdo Sound, Antarctica in 1993, provided an opportunity to examine the effects of sediment-mediated disturbance on the benthic invertebrate fauna. The disturbance had a particularly significant impact on the soft coral Alcyonium paessleri, which resulted in 84% colony mortality downslope from the slump site compared to an average annual mortality rate of 14% on control transects. In contrast, anchor ice at the same site accounted for removal of 5% of the population in 1992. Laboratory experiments with A. paessleri colonies under conditions of periodic sediment resuspension indicate that the soft corals are susceptible to this form of disturbance. Our observations suggest they are capable of shedding fine silt in the laboratory, which might explain the presence of A. paessleri in soft-sediment sites around McMurdo Sound. However, scarring by larger gravel in laboratory assays was slow to heal and may account for much of the colony mortality we observed. Several invertebrate-barren rocky benthic regions in McMurdo Sound were suggestive of historical slumping events. Given the removal of the smaller grain size sediments from these areas - a typically slow process it appears these communities are slow to recover. The long-term effects of sedimentation on the benthic communities are unknown, but the impact on A. paessleri, one of the most common and fastest growing species, suggests this disturbance mechanism could lead to significant restructuring of these communities.</x:v>
      </x:c>
      <x:c r="K47" s="11" t="str">
        <x:v>NO</x:v>
      </x:c>
      <x:c r="L47" s="7" t="str">
        <x:v>NOT_CONFIRMED</x:v>
      </x:c>
      <x:c r="M47" s="7" t="str"/>
      <x:c r="N47" s="7" t="str">
        <x:v>VERIFIED_BIBLIOGRAPHIC_DOCUMENT</x:v>
      </x:c>
      <x:c r="O47" s="7" t="str"/>
      <x:c r="P47" s="11" t="str"/>
      <x:c r="Q47" s="7" t="str"/>
      <x:c r="R47" s="7" t="str"/>
      <x:c r="S47" s="7" t="str"/>
      <x:c r="T47" s="7" t="str"/>
      <x:c r="U47" s="7" t="str"/>
      <x:c r="V47" s="7" t="str">
        <x:v>PRODUCTION_CORE_INCLUDE</x:v>
      </x:c>
      <x:c r="W47" s="7" t="str">
        <x:v>PROD-02025</x:v>
      </x:c>
    </x:row>
    <x:row r="48" ht="42" customHeight="1">
      <x:c r="A48" s="17" t="str">
        <x:v>A</x:v>
      </x:c>
      <x:c r="B48" s="7" t="str">
        <x:v>CWC-6D4E13859C62</x:v>
      </x:c>
      <x:c r="C48" s="7" t="str">
        <x:v>Factors affecting the distribution of ahermatypic corals on the Mediterranean seafloor: a probabilistic study</x:v>
      </x:c>
      <x:c r="D48" s="7" t="str">
        <x:v>R. Sartori</x:v>
      </x:c>
      <x:c r="E48" s="11" t="str">
        <x:v>1980</x:v>
      </x:c>
      <x:c r="F48" s="7" t="str">
        <x:v>Deep Sea Research Part A Oceanographic Research Papers</x:v>
      </x:c>
      <x:c r="G48" s="7" t="str">
        <x:v>article</x:v>
      </x:c>
      <x:c r="H48" s="7" t="str">
        <x:v>10.1016/0198-0149(80)90079-5</x:v>
      </x:c>
      <x:c r="I48" s="7" t="str">
        <x:v>https://doi.org/10.1016/0198-0149(80)90079-5</x:v>
      </x:c>
      <x:c r="J48" s="7" t="str">
        <x:v>Over 300 dredge samples from the Mediterranean Sea were examined from a probabilistic viewpont for the presence of ahermatypic corals. The frequency of finding the organisms decreases with increasing depth, indicating either that the density of coral specimens decreases or that colonizable substrates become scarcer upon going deeper, and the frequency depends on the type of substrate. Particulate seafloors are more poorly colonized than rocky ones. The former have practically no corals below 400 m depth, while the latter may be colonized with the same intensity regardless of the depth. The settlement of Mediterranean deep-sea corals is favored by the absence of sedimented fine materials; this factor is controlled by the physiography and hydrodynamic energy of the environment.</x:v>
      </x:c>
      <x:c r="K48" s="11" t="str">
        <x:v>NO</x:v>
      </x:c>
      <x:c r="L48" s="7" t="str">
        <x:v>NOT_CONFIRMED</x:v>
      </x:c>
      <x:c r="M48" s="7" t="str"/>
      <x:c r="N48" s="7" t="str">
        <x:v>VERIFIED_BIBLIOGRAPHIC_DOCUMENT</x:v>
      </x:c>
      <x:c r="O48" s="7" t="str"/>
      <x:c r="P48" s="11" t="str"/>
      <x:c r="Q48" s="7" t="str"/>
      <x:c r="R48" s="7" t="str"/>
      <x:c r="S48" s="7" t="str"/>
      <x:c r="T48" s="7" t="str"/>
      <x:c r="U48" s="7" t="str"/>
      <x:c r="V48" s="7" t="str">
        <x:v>PRODUCTION_CORE_INCLUDE</x:v>
      </x:c>
      <x:c r="W48" s="7" t="str">
        <x:v>PROD-02373</x:v>
      </x:c>
    </x:row>
    <x:row r="49" ht="42" customHeight="1">
      <x:c r="A49" s="17" t="str">
        <x:v>A</x:v>
      </x:c>
      <x:c r="B49" s="7" t="str">
        <x:v>CWC-908DE8E1A7FD</x:v>
      </x:c>
      <x:c r="C49" s="7" t="str">
        <x:v>Barite and barium in sediments and coral skeletons around the hydrocarbon exploration drilling site in the Træna Deep, Norwegian Sea</x:v>
      </x:c>
      <x:c r="D49" s="7" t="str">
        <x:v>Aivo Lepland | Pål Buhl‐Mortensen</x:v>
      </x:c>
      <x:c r="E49" s="11" t="str">
        <x:v>2007</x:v>
      </x:c>
      <x:c r="F49" s="7" t="str">
        <x:v>Environmental Geology</x:v>
      </x:c>
      <x:c r="G49" s="7" t="str">
        <x:v>article</x:v>
      </x:c>
      <x:c r="H49" s="7" t="str">
        <x:v>10.1007/s00254-007-1145-4</x:v>
      </x:c>
      <x:c r="I49" s="7" t="str">
        <x:v>https://doi.org/10.1007/s00254-007-1145-4</x:v>
      </x:c>
      <x:c r="J49" s="7" t="str">
        <x:v>Barite and barium concentrations in bottom sediments and coral skeletons from the vicinity of the hydrocarbon exploration well drilled in 1992-1993 in the Traena Deep, Norwegian Sea have been studied to assess the spreading of the drilling mud and related ecological effects on Lophelia petrusa coral reefs. Sand size barite crystals derived from the drilling mud and elevated Ba concentrations in surface (0-2 cm) sediments were found up to 4 km from the exploration drilling site. Pb-210-dating results on sediment cores indicate that Ba-rich surface intervals (0-2 cm) record ca. 20 years of sedimentation history, and connect Ba enrichment with exploration drilling. The geographic distribution of Ba contents in sediments allowed the reconstruction of the drilling mud dispersal pattern showing transport eastward from the drilling site, consistent with the prevailing current directions. The presence of relatively coarse-grained sediments and barite crystals trapped in coral polyps, ca. 500 m down current from the drilling site, reflects the elevated turbulence and sediment supply during the drilling activity. This elevated sediment dispersion likely placed a stress upon the coral reefs, but due to strong currents that effectively dilute episodic drilling waste and sediment discharges, the damage does not appear significant.</x:v>
      </x:c>
      <x:c r="K49" s="11" t="str">
        <x:v>NO</x:v>
      </x:c>
      <x:c r="L49" s="7" t="str">
        <x:v>NOT_CONFIRMED</x:v>
      </x:c>
      <x:c r="M49" s="7" t="str"/>
      <x:c r="N49" s="7" t="str">
        <x:v>VERIFIED_BIBLIOGRAPHIC_DOCUMENT</x:v>
      </x:c>
      <x:c r="O49" s="7" t="str"/>
      <x:c r="P49" s="11" t="str"/>
      <x:c r="Q49" s="7" t="str"/>
      <x:c r="R49" s="7" t="str"/>
      <x:c r="S49" s="7" t="str"/>
      <x:c r="T49" s="7" t="str"/>
      <x:c r="U49" s="7" t="str"/>
      <x:c r="V49" s="7" t="str">
        <x:v>PRODUCTION_CORE_INCLUDE</x:v>
      </x:c>
      <x:c r="W49" s="7" t="str">
        <x:v>PROD-02389</x:v>
      </x:c>
    </x:row>
    <x:row r="50" ht="42" customHeight="1">
      <x:c r="A50" s="17" t="str">
        <x:v>A</x:v>
      </x:c>
      <x:c r="B50" s="7" t="str">
        <x:v>CWC-0D39211C7AE3</x:v>
      </x:c>
      <x:c r="C50" s="7" t="str">
        <x:v>RECOLONIZATION OF DEEP-WATER HARD-SUBSTRATE COMMUNITIES - POTENTIAL IMPACTS FROM OIL AND GAS DEVELOPMENT</x:v>
      </x:c>
      <x:c r="D50" s="7" t="str">
        <x:v>LISSNER, AL | TAGHON, GL | DIENER, DR | SCHROETER, SC | DIXON, JD</x:v>
      </x:c>
      <x:c r="E50" s="11" t="str">
        <x:v>1991</x:v>
      </x:c>
      <x:c r="F50" s="7" t="str">
        <x:v>ECOLOGICAL APPLICATIONS</x:v>
      </x:c>
      <x:c r="G50" s="7" t="str">
        <x:v>JOUR</x:v>
      </x:c>
      <x:c r="H50" s="7" t="str">
        <x:v>10.2307/1941755</x:v>
      </x:c>
      <x:c r="I50" s="7" t="str">
        <x:v>https://doi.org/10.2307/1941755</x:v>
      </x:c>
      <x:c r="J50" s="7" t="str">
        <x:v>Many regions of the California, USA, outer continental shelf are subject to ongoing and planned oil and gas development, but there is very limited information on the recolonization and recovery of deep-water (e.g., 60-300 m) hard-substrate communities that may be affected by these activities. The purpose of this study was to summarize existing information on these communities, thereby aiding regulatory agencies and the scientific community in assessing potential impacts, and to determine whether additional studies may be necessary. Impacts from anchoring and increased sedimentation (e.g., from discharges of drilling muds and cuttings) are particularly likely. Sedimentation effects can be natural or human-induced, but habitat disruption from anchoring has few natural parallels. Disturbances from anchoring and sedimentation generally produce Type 1 and Type 2 patches (sensu Sousa 1985, Connell and Keough 1985), respectively. Recolonization and recovery of these patches in deep-water environments are expected to vary in accordance with current models of succession (i.e., inhibition, facilitation, and tolerance). However, inhibition responses likely will predominate in Type 1 patches, particularly high-relief (e.g., &gt; 1 m) areas, where regrowth from the margins often is possible from sheet-like or mound-like forms such as those represented by many sponge taxa. In contrast, recovery of Type 2 patches, particularly low-relief (e.g., &lt; 1 m) areas, also may be influenced primarily by inhibition responses, but the relative lack of nearby colonizers suggests greater numbers of species interactions in accordance with facilitation and tolerance models. This is due to the greater stochastic component associated with recolonization by long-range larval dispersers. Recovery is expected to require a few to several years to accomplish for these deep-water hard-substrate communities. This is based on estimated times for recovery of slow-growing, generally long-lived taxa, such as some vase sponges and anemones characteristic of many high-relief areas, and the uncertainties of long-range recruitment coupled with variable sediment movement in many low-relief areas.</x:v>
      </x:c>
      <x:c r="K50" s="11" t="str">
        <x:v>NO</x:v>
      </x:c>
      <x:c r="L50" s="7" t="str">
        <x:v>NOT_CONFIRMED</x:v>
      </x:c>
      <x:c r="M50" s="7" t="str"/>
      <x:c r="N50" s="7" t="str">
        <x:v>VERIFIED_BIBLIOGRAPHIC_DOCUMENT</x:v>
      </x:c>
      <x:c r="O50" s="7" t="str"/>
      <x:c r="P50" s="11" t="str"/>
      <x:c r="Q50" s="7" t="str"/>
      <x:c r="R50" s="7" t="str"/>
      <x:c r="S50" s="7" t="str"/>
      <x:c r="T50" s="7" t="str"/>
      <x:c r="U50" s="7" t="str"/>
      <x:c r="V50" s="7" t="str">
        <x:v>PRODUCTION_CORE_INCLUDE</x:v>
      </x:c>
      <x:c r="W50" s="7" t="str">
        <x:v>PROD-02398</x:v>
      </x:c>
    </x:row>
    <x:row r="51" ht="42" customHeight="1">
      <x:c r="A51" s="17" t="str">
        <x:v>A</x:v>
      </x:c>
      <x:c r="B51" s="7" t="str">
        <x:v>CWC-D670110C23A8</x:v>
      </x:c>
      <x:c r="C51" s="7" t="str">
        <x:v>A Time Series Study of Lophelia pertusa and Reef Megafauna Responses to Drill Cuttings Exposure on the Norwegian Margin</x:v>
      </x:c>
      <x:c r="D51" s="7" t="str">
        <x:v>Autun Purser</x:v>
      </x:c>
      <x:c r="E51" s="11" t="str">
        <x:v>2015</x:v>
      </x:c>
      <x:c r="F51" s="7" t="str">
        <x:v>PLoS ONE</x:v>
      </x:c>
      <x:c r="G51" s="7" t="str">
        <x:v>article</x:v>
      </x:c>
      <x:c r="H51" s="7" t="str">
        <x:v>10.1371/journal.pone.0134076</x:v>
      </x:c>
      <x:c r="I51" s="7" t="str">
        <x:v>https://doi.org/10.1371/journal.pone.0134076</x:v>
      </x:c>
      <x:c r="J51" s="7" t="str">
        <x:v>As hotspots of local biodiversity in the deep sea, preservation of cold-water coral reef communities is of great importance. In European waters the most extensive reefs are found at depths of 300 - 500 m on the continental margin. In Norwegian waters many of these reefs are located in areas of interest for oil and gas exploration and production. In this study drilling was carried out in the Morvin drill field in proximity to a number of small Lophelia pertusa coral reefs (closest reefs 100 m upstream and 350 m downstream of point of waste drill material release). In a novel monitoring study, ROV video surveys of 9 reefs were conducted prior, during, immediately after and &gt; 1 year after drilling operations. Behavior of coral polyps inhabiting reefs exposed to differing concentrations of drill cuttings and drilling fluids (waste drilling material) were compared. Levels of expected exposure to these waste materials were determined for each reef by modelling drill cutting transport following release, using accurate in-situ hydrodynamic data collected during the drilling period and drill cutting discharge data as parameters of a dispersal model. The presence / absence of associate reef species (Acesta excavata, Paragorgia arborea and Primnoa resedaeformis) were also determined from each survey video. There were no significant differences in Lophelia pertusa polyp behavior in corals modelled to have been exposed to pulses of &gt; 25 ppm drill cutting material and those modelled to be exposed to negligible concentrations of material. From the video data collected, there were no observed degradations of reef structure over time, nor reductions of associate fauna abundance, regardless of modelled exposure concentration at any of the surveyed reefs. This study focused exclusively on adult fauna, and did not assess the potential hazard posed by waste drilling material to coral or other larvae. Video data was collected by various ROV's, using different camera and lighting setups throughout the survey campaign, making comparison of observations prior, during and post drilling problematic. A standardization of video monitoring in future monitoring campaigns is recommended.</x:v>
      </x:c>
      <x:c r="K51" s="11" t="str">
        <x:v>YES</x:v>
      </x:c>
      <x:c r="L51" s="7" t="str">
        <x:v>FROZEN_PUBLIC_FULL_TEXT_LOCATION</x:v>
      </x:c>
      <x:c r="M51" s="7" t="str">
        <x:v>https://journals.plos.org/plosone/article/file?id=10.1371/journal.pone.0134076&amp;type=printable</x:v>
      </x:c>
      <x:c r="N51" s="7" t="str">
        <x:v>VERIFIED_BIBLIOGRAPHIC_DOCUMENT</x:v>
      </x:c>
      <x:c r="O51" s="7" t="str"/>
      <x:c r="P51" s="11" t="str"/>
      <x:c r="Q51" s="7" t="str"/>
      <x:c r="R51" s="7" t="str"/>
      <x:c r="S51" s="7" t="str"/>
      <x:c r="T51" s="7" t="str"/>
      <x:c r="U51" s="7" t="str"/>
      <x:c r="V51" s="7" t="str">
        <x:v>PRODUCTION_CORE_INCLUDE</x:v>
      </x:c>
      <x:c r="W51" s="7" t="str">
        <x:v>PROD-02401</x:v>
      </x:c>
    </x:row>
    <x:row r="52" ht="42" customHeight="1">
      <x:c r="A52" s="17" t="str">
        <x:v>A</x:v>
      </x:c>
      <x:c r="B52" s="7" t="str">
        <x:v>CWC-28BEEE0E5914</x:v>
      </x:c>
      <x:c r="C52" s="7" t="str">
        <x:v>Effects of water flow and drilling waste exposure on polyp behaviour in Lophelia pertusa</x:v>
      </x:c>
      <x:c r="D52" s="7" t="str">
        <x:v>Pål Buhl‐Mortensen | Eirik Tenningen | Anne Britt Skar Tysseland</x:v>
      </x:c>
      <x:c r="E52" s="11" t="str">
        <x:v>2015</x:v>
      </x:c>
      <x:c r="F52" s="7" t="str">
        <x:v>Marine Biology Research</x:v>
      </x:c>
      <x:c r="G52" s="7" t="str">
        <x:v>article</x:v>
      </x:c>
      <x:c r="H52" s="7" t="str">
        <x:v>10.1080/17451000.2014.993651</x:v>
      </x:c>
      <x:c r="I52" s="7" t="str">
        <x:v>https://doi.org/10.1080/17451000.2014.993651</x:v>
      </x:c>
      <x:c r="J52" s="7" t="str">
        <x:v>Polyp expansion state in Lophelia pertusa was studied in situ close to an oil rig during the drilling of a well (Statoil) off mid-Norway, in order to study possible effects on behaviour. The expansion state was monitored visually during the discharge of drill cuttings at one reef exposed to discharges and one not exposed. The reef situated down-current from the discharge point was monitored during 5 days and 15 h with a benthic lander equipped with a stills camera and current meter. This reef was exposed to drill cuttings 11 times during the monitoring. The total exposure time was 13 h 37 min. A remotely operated vehicle was used to provide additional images from both reefs for comparison. The proportion of polyps in different expansion states did not differ significantly between exposed corals and unexposed corals. Rather, changes in polyp behaviour were related to changes in current direction and velocity. A higher proportion of the polyps was expanded during periods with prevailing northeasterly currents compared to northwesterly. This could be related to quantity and type of food particles or the polyps' local position in the colony relative to current direction. There was also a clear difference in the degree of polyp expansion between polyps situated high up in the colony compared to low. This may be related to local environmental differences representing different hydrodynamic conditions. Whether or not there are effects of exposure to drill cuttings over a longer timescale than the observed 5 days and 15 h cannot be concluded from this study.</x:v>
      </x:c>
      <x:c r="K52" s="11" t="str">
        <x:v>NO</x:v>
      </x:c>
      <x:c r="L52" s="7" t="str">
        <x:v>NOT_CONFIRMED</x:v>
      </x:c>
      <x:c r="M52" s="7" t="str"/>
      <x:c r="N52" s="7" t="str">
        <x:v>VERIFIED_BIBLIOGRAPHIC_DOCUMENT</x:v>
      </x:c>
      <x:c r="O52" s="7" t="str"/>
      <x:c r="P52" s="11" t="str"/>
      <x:c r="Q52" s="7" t="str"/>
      <x:c r="R52" s="7" t="str"/>
      <x:c r="S52" s="7" t="str"/>
      <x:c r="T52" s="7" t="str"/>
      <x:c r="U52" s="7" t="str"/>
      <x:c r="V52" s="7" t="str">
        <x:v>PRODUCTION_CORE_INCLUDE</x:v>
      </x:c>
      <x:c r="W52" s="7" t="str">
        <x:v>PROD-02402</x:v>
      </x:c>
    </x:row>
    <x:row r="53" ht="42" customHeight="1">
      <x:c r="A53" s="17" t="str">
        <x:v>A</x:v>
      </x:c>
      <x:c r="B53" s="7" t="str">
        <x:v>CWC-B8875818DF77</x:v>
      </x:c>
      <x:c r="C53" s="7" t="str">
        <x:v>Fish farm effluents cause metabolic depression, reducing energy stores and growth in the reef-forming coral Lophelia pertusa</x:v>
      </x:c>
      <x:c r="D53" s="7" t="str">
        <x:v>Kutti, T | Legrand, E | Husa, V | Olsen, SA | Gjelsvik, O | Carvajalino-Fernandez, M | Johnsen, IA</x:v>
      </x:c>
      <x:c r="E53" s="11" t="str">
        <x:v>2022</x:v>
      </x:c>
      <x:c r="F53" s="7" t="str">
        <x:v>AQUACULTURE ENVIRONMENT INTERACTIONS</x:v>
      </x:c>
      <x:c r="G53" s="7" t="str">
        <x:v>JOUR</x:v>
      </x:c>
      <x:c r="H53" s="7" t="str">
        <x:v>10.3354/aei00442</x:v>
      </x:c>
      <x:c r="I53" s="7" t="str">
        <x:v>https://doi.org/10.3354/aei00442</x:v>
      </x:c>
      <x:c r="J53" s="7" t="str">
        <x:v>Cold-water corals (CWCs) have come under increasing pressure from human activities over the last decades. Of particular concern in Norway is the potential impact of open net pen aquaculture on CWC reefs formed by Lophelia pertusa, a threatened and declining habitat. We conducted a 1 yr in situ transplantation experiment and corresponding field measurements of 2 reefs located close to fish farms to elucidate the impacts of particulate organic waste released from the farms on coral colonies. Our study provided new evidence of negative impacts of organic effluents on L. pertusa ecophysiology. After 1 yr, both naturally occurring and transplanted corals, at distances ranging from 250 m to 1 km downstream of what would be regarded as an average-sized Norwegian fish farm, exhibited depressed metabolic rates compared to corals outside the main depositional footprint of the farms. The metabolic depression impeded energy acquisition, reducing growth and energy reserves by up to 70 and 50%, respectively. No clear threshold for significant biological impact could be detected along a distance gradient. Instead, a gradual decrease in metabolic rates, growth and lipid reserves occurred with increasing modelled sedimentation rate of organic waste from the farm. The strong statistical correlation between oxygen consumption, growth, energy stores and sedimentation rates implies that predictions of the short-term impact of aquaculture effluents on L. pertusa ecophysiology and CWC reef development may be achievable in the future. This would significantly improve the ability of management to make informed decisions on the licensing of new farms near CWC reefs.</x:v>
      </x:c>
      <x:c r="K53" s="11" t="str">
        <x:v>NO</x:v>
      </x:c>
      <x:c r="L53" s="7" t="str">
        <x:v>NOT_CONFIRMED</x:v>
      </x:c>
      <x:c r="M53" s="7" t="str"/>
      <x:c r="N53" s="7" t="str">
        <x:v>VERIFIED_BIBLIOGRAPHIC_DOCUMENT</x:v>
      </x:c>
      <x:c r="O53" s="7" t="str"/>
      <x:c r="P53" s="11" t="str"/>
      <x:c r="Q53" s="7" t="str"/>
      <x:c r="R53" s="7" t="str"/>
      <x:c r="S53" s="7" t="str"/>
      <x:c r="T53" s="7" t="str"/>
      <x:c r="U53" s="7" t="str"/>
      <x:c r="V53" s="7" t="str">
        <x:v>PRODUCTION_CORE_INCLUDE</x:v>
      </x:c>
      <x:c r="W53" s="7" t="str">
        <x:v>PROD-02415</x:v>
      </x:c>
    </x:row>
    <x:row r="54" ht="42" customHeight="1">
      <x:c r="A54" s="17" t="str">
        <x:v>A</x:v>
      </x:c>
      <x:c r="B54" s="7" t="str">
        <x:v>CWC-76DBA2881C9F</x:v>
      </x:c>
      <x:c r="C54" s="7" t="str">
        <x:v>Eco-physiological responses of cold-water soft corals to anthropogenic sedimentation and particle shape</x:v>
      </x:c>
      <x:c r="D54" s="7" t="str">
        <x:v>Stephanie Liefmann | Johanna Järnegren | Geir Johnsen | Fiona Murray</x:v>
      </x:c>
      <x:c r="E54" s="11" t="str">
        <x:v>2018</x:v>
      </x:c>
      <x:c r="F54" s="7" t="str">
        <x:v>Journal of Experimental Marine Biology and Ecology</x:v>
      </x:c>
      <x:c r="G54" s="7" t="str">
        <x:v>article</x:v>
      </x:c>
      <x:c r="H54" s="7" t="str">
        <x:v>10.1016/j.jembe.2018.02.009</x:v>
      </x:c>
      <x:c r="I54" s="7" t="str">
        <x:v>https://doi.org/10.1016/j.jembe.2018.02.009</x:v>
      </x:c>
      <x:c r="J54" s="7" t="str">
        <x:v>Anthropogenic disturbances in the marine environment, such as excessive sedimentation produced by mine tailing deposition, can affect the physiology and behavior of benthic fauna. Mine tailing particles are sharper than natural occurring sediments and could therefore cause more harmful effects. Cold-water coral ecosystems are among the habitats in danger of being affected by dumping of mine tailings. Cold-water corals have very slow growth rates but the habitats they provide support high levels of species richness and functional diversity. Two soft corals, cauliflower coral (Duva florida) and red tree coral (Primnoa resedaeformis), were chosen as model organisms to study the effects of excessive mine tailing sedimentation and the effect of particle shape in a three-month long experiment. The corals were exposed to a concentration of 8 mg l(-1) of two types of sediment, rough edged mine tailings (MT) and smooth edged spherical glass beads (GB). Glass beads were mimicking natural, smooth sediment, and both sediment types had a particle size distribution of 0-63 mu m. Sedimentation effects were investigated using C-13/C-12 isotope ratio to assess food intake, time-lapse images to determine the effects on tissue and behavior, and histological samples to identify and quantify particles inside the polyps. When exposed to MT, food intake decreased significantly in D. florida and increased significantly in P. resedaeformis. Duva florida exhibited a behavioral response under MT treatment, being contracted for prolonged periods. Primnoa resedaeformis lost a significant proportion of polyps under both treatments. Histology showed mine tailing particles of sizes &lt; 10 mu m embedded in the tissue of both species. The results suggest that sharp particles are more harmful than smooth edged particles to both species, in the size range studied. This should be considered when assessing the impacts of anthropogenic activities that increase sedimentation in benthic habitats.</x:v>
      </x:c>
      <x:c r="K54" s="11" t="str">
        <x:v>YES</x:v>
      </x:c>
      <x:c r="L54" s="7" t="str">
        <x:v>FROZEN_PUBLIC_FULL_TEXT_LOCATION</x:v>
      </x:c>
      <x:c r="M54" s="7" t="str">
        <x:v>https://www.research.ed.ac.uk/en/publications/868d8144-5e3c-450f-8b6c-2eb0be9df80d</x:v>
      </x:c>
      <x:c r="N54" s="7" t="str">
        <x:v>VERIFIED_BIBLIOGRAPHIC_DOCUMENT</x:v>
      </x:c>
      <x:c r="O54" s="7" t="str"/>
      <x:c r="P54" s="11" t="str"/>
      <x:c r="Q54" s="7" t="str"/>
      <x:c r="R54" s="7" t="str"/>
      <x:c r="S54" s="7" t="str"/>
      <x:c r="T54" s="7" t="str"/>
      <x:c r="U54" s="7" t="str"/>
      <x:c r="V54" s="7" t="str">
        <x:v>PRODUCTION_CORE_INCLUDE</x:v>
      </x:c>
      <x:c r="W54" s="7" t="str">
        <x:v>PROD-02418</x:v>
      </x:c>
    </x:row>
    <x:row r="55" ht="42" customHeight="1">
      <x:c r="A55" s="17" t="str">
        <x:v>A</x:v>
      </x:c>
      <x:c r="B55" s="7" t="str">
        <x:v>CWC-2ABD7D958E3C</x:v>
      </x:c>
      <x:c r="C55" s="7" t="str">
        <x:v>The red coral populations of the gulfs of Naples and Salerno: human impact and deep mass mortalities</x:v>
      </x:c>
      <x:c r="D55" s="7" t="str">
        <x:v>Giorgio Bavestrello | Marzia Bo | Simonepietro Canese | Roberto Sandulli | Riccardo Cattaneo‐Vietti</x:v>
      </x:c>
      <x:c r="E55" s="11" t="str">
        <x:v>2014</x:v>
      </x:c>
      <x:c r="F55" s="7" t="str">
        <x:v>The European Zoological Journal</x:v>
      </x:c>
      <x:c r="G55" s="7" t="str">
        <x:v>article</x:v>
      </x:c>
      <x:c r="H55" s="7" t="str">
        <x:v>10.1080/11250003.2014.950349</x:v>
      </x:c>
      <x:c r="I55" s="7" t="str">
        <x:v>https://doi.org/10.1080/11250003.2014.950349</x:v>
      </x:c>
      <x:c r="J55" s="7" t="str">
        <x:v>The existence of deep red coral (Corallium rubrum) banks in the gulfs of Naples and Salerno (South Tyrrhenian Sea, Mediterranean Sea) is well known in historical records due to the heavy coral harvesting that occurred during the 19th and 20th centuries, by both trawling gears and scuba diving. In 2010 and 2012, during two Remotely Operated Vehicle (ROV) surveys on board of the Research Vessel (R/V) Astrea, red coral banks were detected in 16 of the 25 visited localities, between 45 and 150 m depth. Seven of these banks, located in the inner part of the Gulf of Naples, were already explored in 1918 by a scientific survey reporting the occurrence of red coral. Healthy populations (densities &gt; 90 colonies m−2) were present only around the coasts of the Phlegrean Islands (Ischia and Procida Islands). Very low densities (&lt; 5 colonies m−2) or the absence of coral were recorded in all other sites of the Gulf of Naples (including all historical re-visited banks), and a variable percentage of dead colonies was observed. This evidence suggests a huge state of stress likely favoured by the hydrodynamic conditions in the Gulf, enhancing water pollution and sedimentation rate. Finally, the documented high fishing pressure plays a major role in the hard-bottom communities’ degradation. A recent mass mortality episode was also recorded along the Amalfi coast, around Li Galli Islands (Gulf of Salerno), at a depth range between 80 and 100 m, where the mortality affected 80% of the largest colonies, estimated to be around 70 years old. Several possible reasons for this mortality have been hypothesised, such as the formation of local down-welling currents inducing an unusual drop of the thermocline, or sudden warm water emissions (sulphur springs) in an area characterised by important volcanic activities, or local landslides generating turbidity currents along the steep slopes.</x:v>
      </x:c>
      <x:c r="K55" s="11" t="str">
        <x:v>YES</x:v>
      </x:c>
      <x:c r="L55" s="7" t="str">
        <x:v>FROZEN_PUBLIC_FULL_TEXT_LOCATION</x:v>
      </x:c>
      <x:c r="M55" s="7" t="str">
        <x:v>https://www.tandfonline.com/doi/epdf/10.1080/11250003.2014.950349?needAccess=true&amp;role=button</x:v>
      </x:c>
      <x:c r="N55" s="7" t="str">
        <x:v>VERIFIED_BIBLIOGRAPHIC_DOCUMENT</x:v>
      </x:c>
      <x:c r="O55" s="7" t="str"/>
      <x:c r="P55" s="11" t="str"/>
      <x:c r="Q55" s="7" t="str"/>
      <x:c r="R55" s="7" t="str"/>
      <x:c r="S55" s="7" t="str"/>
      <x:c r="T55" s="7" t="str"/>
      <x:c r="U55" s="7" t="str"/>
      <x:c r="V55" s="7" t="str">
        <x:v>PRODUCTION_CORE_INCLUDE</x:v>
      </x:c>
      <x:c r="W55" s="7" t="str">
        <x:v>PROD-03058</x:v>
      </x:c>
    </x:row>
    <x:row r="56" ht="42" customHeight="1">
      <x:c r="A56" s="17" t="str">
        <x:v>A</x:v>
      </x:c>
      <x:c r="B56" s="7" t="str">
        <x:v>CWC-D966A89B2B12</x:v>
      </x:c>
      <x:c r="C56" s="7" t="str">
        <x:v>Hydrodynamic controls on cold-water coral growth and carbonate-mound development at the SW and SE Rockall Trough Margin, NE Atlantic Ocean</x:v>
      </x:c>
      <x:c r="D56" s="7" t="str">
        <x:v>Furu Mienis | Henko de Stigter | Martin White | Gerard Duineveld | H. de Haas | Tj.C.E. van Weering</x:v>
      </x:c>
      <x:c r="E56" s="11" t="str">
        <x:v>2007</x:v>
      </x:c>
      <x:c r="F56" s="7" t="str">
        <x:v>Deep Sea Research Part I Oceanographic Research Papers</x:v>
      </x:c>
      <x:c r="G56" s="7" t="str">
        <x:v>article</x:v>
      </x:c>
      <x:c r="H56" s="7" t="str">
        <x:v>10.1016/j.dsr.2007.05.013</x:v>
      </x:c>
      <x:c r="I56" s="7" t="str">
        <x:v>https://doi.org/10.1016/j.dsr.2007.05.013</x:v>
      </x:c>
      <x:c r="J56" s="7" t="str">
        <x:v>Long-term (&lt;= 1 -year) records obtained by seabed observatories (BOBO) and repeated (24-h) CTD casts show the presence of a highly energetic environment in and around two cold-water carbonate-mound provinces, on the Southwest and Southeast Rockall Trough (SW and SE RT) margin. Carbonate mounds, covered with a thriving coral cover, are embedded mainly in the Eastern North Atlantic Water (ENAW) and are observed in a confined bathymetric zone between 600 and 1000 m water depth. Cold-water corals seem to be restricted in their growth by temperature and food availability. The presence of living corals on top of the carbonate mounds appears linked to the presence of internal waves and tidal currents in the water column, and consequently carbonate mound structures are shaped by the local hydrodynamic regime. Mound clusters have an elongated shape perpendicular to the regional contours and corresponding to the direction of the highest current speeds. On the SW RT margin temperature, salinity and current speed reflect a diurnal tidal pattern, causing maximum temperature variations at 900 m depth of more than 3 degrees C. Current speeds up to 45 cm s(-1) occur, and a residual current of 10 cm s(-1) is directed along the slope to the southwest. At the SE RT margin the temperature of the bottom water fluctuates more than I degrees C with a semi-diurnal tidal cyclicity. Amplitudes of average and peak current speeds here are comparable with those measured on the southwest margin, but the residual current in this area is directed to the northeast. Tidal currents and internal waves at both margins force the formation of intermediate and bottom nepheloid layers and bring fresh food particles with increased velocity to the mounds. The distribution of corals in both mound areas is considered directly related to the presence of enhanced turbidity. An increase in temperature can be directly related to an increase in the amount of particles in the water column. Current velocity increases when a transition occurs from cold to warm waters. High current velocities prevent local sedimentation but provide sufficient food particles to the corals, so that the corals thrive at the mound summits. (C) 2007 Elsevier Ltd. All rights reserved.</x:v>
      </x:c>
      <x:c r="K56" s="11" t="str">
        <x:v>NO</x:v>
      </x:c>
      <x:c r="L56" s="7" t="str">
        <x:v>NOT_CONFIRMED</x:v>
      </x:c>
      <x:c r="M56" s="7" t="str"/>
      <x:c r="N56" s="7" t="str">
        <x:v>VERIFIED_BIBLIOGRAPHIC_DOCUMENT</x:v>
      </x:c>
      <x:c r="O56" s="7" t="str"/>
      <x:c r="P56" s="11" t="str"/>
      <x:c r="Q56" s="7" t="str"/>
      <x:c r="R56" s="7" t="str"/>
      <x:c r="S56" s="7" t="str"/>
      <x:c r="T56" s="7" t="str"/>
      <x:c r="U56" s="7" t="str"/>
      <x:c r="V56" s="7" t="str">
        <x:v>PRODUCTION_CORE_INCLUDE</x:v>
      </x:c>
      <x:c r="W56" s="7" t="str">
        <x:v>PROD-03323</x:v>
      </x:c>
    </x:row>
    <x:row r="57" ht="42" customHeight="1">
      <x:c r="A57" s="17" t="str">
        <x:v>A</x:v>
      </x:c>
      <x:c r="B57" s="7" t="str">
        <x:v>CWC-3AA8D91257F1</x:v>
      </x:c>
      <x:c r="C57" s="7" t="str">
        <x:v>Long term monitoring of cold-water coral growth shows response to episodic meteorological events in the NW Mediterranean</x:v>
      </x:c>
      <x:c r="D57" s="7" t="str">
        <x:v>Leïla Chapron | Nadine Le Bris | Xavier Durrieu de Madron | Erwan Péru | Pierre E. Galand | Franck Lartaud</x:v>
      </x:c>
      <x:c r="E57" s="11" t="str">
        <x:v>2020</x:v>
      </x:c>
      <x:c r="F57" s="7" t="str">
        <x:v>Deep Sea Research Part I Oceanographic Research Papers</x:v>
      </x:c>
      <x:c r="G57" s="7" t="str">
        <x:v>article</x:v>
      </x:c>
      <x:c r="H57" s="7" t="str">
        <x:v>10.1016/j.dsr.2020.103255</x:v>
      </x:c>
      <x:c r="I57" s="7" t="str">
        <x:v>https://doi.org/10.1016/j.dsr.2020.103255</x:v>
      </x:c>
      <x:c r="J57" s="7" t="str">
        <x:v>Abstract Lophelia pertusa and Madrepora oculata, two cosmopolitan coral species of the deep ocean, build reef-like structures that provide ecological niches and nurseries for many species. These cold-water corals (CWCs) are thought to grow slowly making associated communities vulnerable to disturbance. However, in situ growth dynamics remains poorly known. The aim of this study was thus to quantify the growth rates of L. pertusa and M. oculata and their variability in relation to environmental conditions that are expected to influence their physiological functions. Such data can be useful to ground-truth physiological rates and improve the prediction of their sensitivity to global change. As part of a long-term monitoring programme of the Lacaze-Duthiers canyon in the Northwestern Mediterranean Sea, fragments of the two species were repeatedly sampled and redeployed at 530 m depth, from November 2010 to May 2018. Budding rates and linear extensions of L. pertusa and M. oculata were hence quantified and their inter-annual variability documented. The data were analyzed in relation to in situ monitoring of water temperature, current speed and turbidity. This study presents the longest in situ survey of the growth patterns of L. pertusa and M. oculata. The observations revealed a strong inter-annual variability in growth rates, both for L. pertusa and M. oculata, and suggest an influence of hydrological conditions on the growth dynamics. Particularly, as regard to episodic water plumes events such as NW wind-induced dense water shelf cascades and E-SE storm-induced downwellings in autumn-winter. In this study, three types of responses were observed: (i) high budding rates but low colony linear extension for strong water plume events periods (ii) high budding rates and high linear extension associated to organic matter supply during medium intensity water plume events, and (iii) low budding rates, low linear extension and high mortality due to high sedimentation rates in the absence of water plume event. Lophelia pertusa appears to be more resilient to these hydrological changes. Disturbance of the regional circulation patterns, in addition to longer-term change in water mass properties such as warming, deoxygenation and acidification, are thus important parameters to consider for CWC reef stability. This is particularly important since increased storminess, and decreased cascading/downwelling intensities, are predicted to occur within the next century.</x:v>
      </x:c>
      <x:c r="K57" s="11" t="str">
        <x:v>YES</x:v>
      </x:c>
      <x:c r="L57" s="7" t="str">
        <x:v>FROZEN_PUBLIC_FULL_TEXT_LOCATION</x:v>
      </x:c>
      <x:c r="M57" s="7" t="str">
        <x:v>https://www.sciencedirect.com/science/article/am/pii/S0967063720300431</x:v>
      </x:c>
      <x:c r="N57" s="7" t="str">
        <x:v>VERIFIED_BIBLIOGRAPHIC_DOCUMENT</x:v>
      </x:c>
      <x:c r="O57" s="7" t="str"/>
      <x:c r="P57" s="11" t="str"/>
      <x:c r="Q57" s="7" t="str"/>
      <x:c r="R57" s="7" t="str"/>
      <x:c r="S57" s="7" t="str"/>
      <x:c r="T57" s="7" t="str"/>
      <x:c r="U57" s="7" t="str"/>
      <x:c r="V57" s="7" t="str">
        <x:v>PRODUCTION_CORE_INCLUDE</x:v>
      </x:c>
      <x:c r="W57" s="7" t="str">
        <x:v>PROD-03344</x:v>
      </x:c>
    </x:row>
    <x:row r="58" ht="42" customHeight="1">
      <x:c r="A58" s="17" t="str">
        <x:v>A</x:v>
      </x:c>
      <x:c r="B58" s="7" t="str">
        <x:v>CWC-65AE72CF2A22</x:v>
      </x:c>
      <x:c r="C58" s="7" t="str">
        <x:v>Spatial response of hard- and mixed-bottom benthic epifauna to organic enrichment from salmon aquaculture in northern Norway</x:v>
      </x:c>
      <x:c r="D58" s="7" t="str">
        <x:v>Katherine Dunlop | Astrid Harendza | Raymond J. Bannister | Nigel Keeley</x:v>
      </x:c>
      <x:c r="E58" s="11" t="str">
        <x:v>2021</x:v>
      </x:c>
      <x:c r="F58" s="7" t="str">
        <x:v>Aquaculture Environment Interactions</x:v>
      </x:c>
      <x:c r="G58" s="7" t="str">
        <x:v>article</x:v>
      </x:c>
      <x:c r="H58" s="7" t="str">
        <x:v>10.3354/aei00419</x:v>
      </x:c>
      <x:c r="I58" s="7" t="str">
        <x:v>https://doi.org/10.3354/aei00419</x:v>
      </x:c>
      <x:c r="J58" s="7" t="str">
        <x:v>Norwegian Atlantic salmon aquaculture is continuing to expand in northern regions dominated by hard- and mixed-bottom substrates. Such habitats contain rich benthic epifaunal communities, including sponges and other sessile invertebrates susceptible to the impacts of particulate material released from finfish farms. Here, conventional soft-sediment sampling techniques are unable to discern the impacts of farm waste, and new monitoring methods and indicator taxa must be identified. This study improves understanding of the impacts of particulate waste released from salmon farms on the density and structure of benthic epifaunal communities on mixed- and hard-bottom substrates. The diversity, density, and composition of epifaunal communities and visually conspicuous benthic infauna were recorded in towed camera transects along the enrichment gradient (similar to 50-800 m) of 3 salmon farms in northern Norway. Elevated fluxes of particulate material in the vicinity of all farms significantly affected epifaunal community composition, as did the coverage of some key substrate types. The defecated mounds of lugworms and the seastar Asterias rubens were notably more abundant near the farms where fluxes were elevated. The sponges Polymastia spp. and Phakellia spp. and the soft coral Duva florida showed significant declines in density with increasing sedimentation and were principal taxa in communities at natural sedimentation levels. Results identify taxa with both positive and negative spatial associations to particulate waste released from finfish farms and the potential for the development of an epifauna indicator-based index for monitoring the environmental impacts of aquaculture in hard- and mixed-bottom dominated substrates.</x:v>
      </x:c>
      <x:c r="K58" s="11" t="str">
        <x:v>NO</x:v>
      </x:c>
      <x:c r="L58" s="7" t="str">
        <x:v>NOT_CONFIRMED</x:v>
      </x:c>
      <x:c r="M58" s="7" t="str"/>
      <x:c r="N58" s="7" t="str">
        <x:v>VERIFIED_BIBLIOGRAPHIC_DOCUMENT</x:v>
      </x:c>
      <x:c r="O58" s="7" t="str"/>
      <x:c r="P58" s="11" t="str"/>
      <x:c r="Q58" s="7" t="str"/>
      <x:c r="R58" s="7" t="str"/>
      <x:c r="S58" s="7" t="str"/>
      <x:c r="T58" s="7" t="str"/>
      <x:c r="U58" s="7" t="str"/>
      <x:c r="V58" s="7" t="str">
        <x:v>PRODUCTION_CORE_INCLUDE</x:v>
      </x:c>
      <x:c r="W58" s="7" t="str">
        <x:v>PROD-03373</x:v>
      </x:c>
    </x:row>
    <x:row r="59" ht="42" customHeight="1">
      <x:c r="A59" s="17" t="str">
        <x:v>A</x:v>
      </x:c>
      <x:c r="B59" s="7" t="str">
        <x:v>CWC-4EF1547612E7</x:v>
      </x:c>
      <x:c r="C59" s="7" t="str">
        <x:v>Suspended Particulate Loading on the Macrobenthos in a Highly Turbid Fjord: Knight Inlet, British Columbia</x:v>
      </x:c>
      <x:c r="D59" s="7" t="str">
        <x:v>George E. Farrow | James P. M. Syvitski | Verena Tunnicliffe</x:v>
      </x:c>
      <x:c r="E59" s="11" t="str">
        <x:v>1983</x:v>
      </x:c>
      <x:c r="F59" s="7" t="str">
        <x:v>Canadian Journal of Fisheries and Aquatic Sciences</x:v>
      </x:c>
      <x:c r="G59" s="7" t="str">
        <x:v>article</x:v>
      </x:c>
      <x:c r="H59" s="7" t="str">
        <x:v>10.1139/f83-289</x:v>
      </x:c>
      <x:c r="I59" s="7" t="str">
        <x:v>https://doi.org/10.1139/f83-289</x:v>
      </x:c>
      <x:c r="J59" s="7" t="str">
        <x:v>Knight Inlet is a deep, low-energy but well-oxygenated fjord. The effects of turbidity are principally those of seasonally very high vertical flux from the sediment-laden surface layer. Submersible observations of the benthos are related to suspended load and sedimentation rate data. The bayhead delta slope receives a continual rain of glacial silt (30 cm/yr) and has summer sedimentation rates of 4 kg∙m −2 ∙d −1 .The epifauna of the steep fjord walls shows a marked down-inlet increase in abundance, and the number of species increases from 9 to 45. Brachiopods (Laqueus californianus), solitary corals (Caryophyllia/Cyathoceros), and encrusting sponges are remarkably tolerant of high turbidity. The high sedimentation rates affect the epifauna in three ways: (1) subjection to the ubiquitous "gentle rain" of floes and agglomerates; (2) more locally, microturbidity flows set off by biological resuspension of unstable slope sediment; and (3) major slides of rock and/or sediment. Submarine soil-creep limits the slope infauna, by burrows requiring repeated reexcavation.Down-inlet decrease in sedimentation rate is accompanied by a change in feeding type. In the upper inlet, suspension feeders taking particles &lt; 8 μm (e.g. sabellids, brachiopods) probably utilize bacteria associated with the high vertical flux of SPM. In the middle inlet, selective suspension feeders (e.g. crinoids, gorgonians) sort the SPM for larger particles. In the lower inlet, filter feeders (e.g. barnacles, glass sponges) increase, especially where currents are stronger. The soft-bottom detritus feeders also show a change: from epibenthic forms (e.g. pandalid shrimp, spider crabs) in the upper inlet, through burrowing shrimp in the middle inlet, to ophiuroids in the lower inlet. These changes are correlated with the greater amounts of organic carbon preserved in bottom sediments as they are less diluted by glacially derived inorganic material.The modern-day "turbid association" of brachiopods, solitary corals, and sponges recalls typical outer shelf-basinal shale facies of the Palaeozoic. Turbid, low-energy environments were thus colonized early but faunas have since become less diverse.Key words: fjord, benthos, sedimentation, submersible</x:v>
      </x:c>
      <x:c r="K59" s="11" t="str">
        <x:v>NO</x:v>
      </x:c>
      <x:c r="L59" s="7" t="str">
        <x:v>NOT_CONFIRMED</x:v>
      </x:c>
      <x:c r="M59" s="7" t="str"/>
      <x:c r="N59" s="7" t="str">
        <x:v>VERIFIED_BIBLIOGRAPHIC_DOCUMENT</x:v>
      </x:c>
      <x:c r="O59" s="7" t="str"/>
      <x:c r="P59" s="11" t="str"/>
      <x:c r="Q59" s="7" t="str"/>
      <x:c r="R59" s="7" t="str"/>
      <x:c r="S59" s="7" t="str"/>
      <x:c r="T59" s="7" t="str"/>
      <x:c r="U59" s="7" t="str"/>
      <x:c r="V59" s="7" t="str">
        <x:v>PRODUCTION_CORE_INCLUDE</x:v>
      </x:c>
      <x:c r="W59" s="7" t="str">
        <x:v>PROD-03443</x:v>
      </x:c>
    </x:row>
    <x:row r="60" ht="42" customHeight="1">
      <x:c r="A60" s="17" t="str">
        <x:v>A</x:v>
      </x:c>
      <x:c r="B60" s="7" t="str">
        <x:v>CWC-2333337CDF81</x:v>
      </x:c>
      <x:c r="C60" s="7" t="str">
        <x:v>Deep-sea coral Lophelia pertusa laboratory maintenance and exposure to barite using water recirculation systems</x:v>
      </x:c>
      <x:c r="D60" s="7" t="str">
        <x:v>Vianna da Rocha Ian | Cardinot Reis Estefane | Reis da Silva Priscila | de Hollanda Cavalcanti Guarani | Coutinho Ricardo | Vieira Reynier Marcia</x:v>
      </x:c>
      <x:c r="E60" s="11" t="str">
        <x:v>2021</x:v>
      </x:c>
      <x:c r="F60" s="7" t="str">
        <x:v>Journal of Toxicology and Environmental Health Sciences</x:v>
      </x:c>
      <x:c r="G60" s="7" t="str">
        <x:v>article</x:v>
      </x:c>
      <x:c r="H60" s="7" t="str">
        <x:v>10.5897/jtehs2021.0486</x:v>
      </x:c>
      <x:c r="I60" s="7" t="str">
        <x:v>https://doi.org/10.5897/jtehs2021.0486</x:v>
      </x:c>
      <x:c r="J60" s="7" t="str">
        <x:v>Drilling activities usually discharge large quantities of fluids and drill cuttings, which are composed of fine particles, such as barite, that can physically affect Lophelia pertusa. An experiment to assess the effects of barite smothering on L. pertusa was conducted with a water recirculation system. The corals were collected in Santos Basin, Brazil. The experiment was conducted in 23 L cone-shaped aquaria, adapted with an individual water recirculation system. Each exposure to suspended barite particles (50 and 100 mg•L-1) plus a control group was maintained in triplicate. Three nubbins were accommodated in the aquaria and acclimated for 7 days. The experimental design simulated two cycles of discharge, followed by a recovery cycle of 7 days each, totaling 35 days. Nine polyps per treatment were monitored twice per day regarding their behavior levels. Time-lapse photographs were also taken during the recovery periods. Total polyp survival in the control was 100%, while those in the 50 and 100 mg•L-1 groups were 94.2 and 93.6%, respectively, with no significant difference between treatments. Polyp activity was different between treatments, with both exposed aquaria displaying higher activity than control. This was probably related to the natural cleaning behavior of L. pertusa. Key words: Barite smothering, sedimentation, impacts of oil and gas industry, Santos Basin, Southeastern Brazil, South Atlantic.</x:v>
      </x:c>
      <x:c r="K60" s="11" t="str">
        <x:v>YES</x:v>
      </x:c>
      <x:c r="L60" s="7" t="str">
        <x:v>FROZEN_PUBLIC_FULL_TEXT_LOCATION</x:v>
      </x:c>
      <x:c r="M60" s="7" t="str">
        <x:v>https://doi.org/10.5897/jtehs2021.0486</x:v>
      </x:c>
      <x:c r="N60" s="7" t="str">
        <x:v>VERIFIED_BIBLIOGRAPHIC_DOCUMENT</x:v>
      </x:c>
      <x:c r="O60" s="7" t="str"/>
      <x:c r="P60" s="11" t="str"/>
      <x:c r="Q60" s="7" t="str"/>
      <x:c r="R60" s="7" t="str"/>
      <x:c r="S60" s="7" t="str"/>
      <x:c r="T60" s="7" t="str"/>
      <x:c r="U60" s="7" t="str"/>
      <x:c r="V60" s="7" t="str">
        <x:v>PRODUCTION_CORE_INCLUDE</x:v>
      </x:c>
      <x:c r="W60" s="7" t="str">
        <x:v>PROD-03464</x:v>
      </x:c>
    </x:row>
    <x:row r="61" ht="42" customHeight="1">
      <x:c r="A61" s="17" t="str">
        <x:v>A</x:v>
      </x:c>
      <x:c r="B61" s="7" t="str">
        <x:v>CWC-F432D2EEA239</x:v>
      </x:c>
      <x:c r="C61" s="7" t="str">
        <x:v>Response to sedimentation stress of the gorgonian coral Primnoella chilensis from the Chilean fjord region</x:v>
      </x:c>
      <x:c r="D61" s="7" t="str">
        <x:v>Leander Verse | Jürgen Laudien | Verena Häussermann</x:v>
      </x:c>
      <x:c r="E61" s="11" t="str">
        <x:v>2019</x:v>
      </x:c>
      <x:c r="F61" s="7" t="str">
        <x:v>Helmholtz-Zentrum für Polar-und Meeresforschung (Alfred-Wegener-Institut)</x:v>
      </x:c>
      <x:c r="G61" s="7" t="str">
        <x:v>dissertation</x:v>
      </x:c>
      <x:c r="H61" s="7" t="str">
        <x:v>10.1594/pangaea.905477</x:v>
      </x:c>
      <x:c r="I61" s="7" t="str">
        <x:v>https://doi.org/10.1594/pangaea.905477</x:v>
      </x:c>
      <x:c r="J61" s="7" t="str">
        <x:v>Sedimentation is one of the main disturbance factors influencing benthic communities and coastal reef organisms through a variety of mechanisms. In Chilean Patagonia, rising anthropogenic intrusions such as coastal road projects and aquaculture installations threaten the local biodiversity causing increased sedimentation with even more to be expected. Primnoella chilensis (Philippi, 1894) is an important habitat-forming gorgonian coral, abundant in this region, but significant abundance decreases were reported for the last decade. The present study aimed to describe physiological and behavioural stress responses of P. chilensis to increased sedimentation. Therefore, two laboratory experiments were conducted measuring colonies' responses in respiration for 18 hours as well as documenting polyp activity and mucus secretion for 15 days under sediment exposure. No significant differences in oxygen consumption were measured, presumably due to the low number of test organisms. Further, no mucus secretion or changes in colonies' overall activity were detected. However, an analysis on single polyp level revealed a significantly increased percentage of open polyps when exposed to high sedimentation. This increased activity may be explained by intensified filter-feeding behaviour and active sediment rejection. In addition, a spawning event was detected as a possible stress reaction. All in all, the results suggest that P. chilensis is able to tolerate the simulated sedimentation loads of 225 and 450 mm/y due to its morphology and compartmentalized behaviour. This goes along with previous findings on gorgonian corals. Nonetheless, anthropogenic disturbances may by far exceed and alter natural ones due to their extent and persistence causing unpredictable, dangerous conditions for the benthic community.</x:v>
      </x:c>
      <x:c r="K61" s="11" t="str">
        <x:v>NO</x:v>
      </x:c>
      <x:c r="L61" s="7" t="str">
        <x:v>NOT_CONFIRMED</x:v>
      </x:c>
      <x:c r="M61" s="7" t="str"/>
      <x:c r="N61" s="7" t="str">
        <x:v>VERIFIED_BIBLIOGRAPHIC_DOCUMENT</x:v>
      </x:c>
      <x:c r="O61" s="7" t="str"/>
      <x:c r="P61" s="11" t="str"/>
      <x:c r="Q61" s="7" t="str"/>
      <x:c r="R61" s="7" t="str"/>
      <x:c r="S61" s="7" t="str"/>
      <x:c r="T61" s="7" t="str"/>
      <x:c r="U61" s="7" t="str"/>
      <x:c r="V61" s="7" t="str">
        <x:v>PRODUCTION_CORE_INCLUDE</x:v>
      </x:c>
      <x:c r="W61" s="7" t="str">
        <x:v>PROD-03472</x:v>
      </x:c>
    </x:row>
    <x:row r="62" ht="42" customHeight="1">
      <x:c r="A62" s="17" t="str">
        <x:v>A</x:v>
      </x:c>
      <x:c r="B62" s="7" t="str">
        <x:v>CWC-051E61C91ACA</x:v>
      </x:c>
      <x:c r="C62" s="7" t="str">
        <x:v>Deep-Sea Coral Reefs: Distribution, Ecology &amp; Anthropogenic Impacts</x:v>
      </x:c>
      <x:c r="D62" s="7" t="str">
        <x:v>Victoria Oakham</x:v>
      </x:c>
      <x:c r="E62" s="11" t="str">
        <x:v>2009</x:v>
      </x:c>
      <x:c r="F62" s="7" t="str">
        <x:v>The Plymouth student scientist</x:v>
      </x:c>
      <x:c r="G62" s="7" t="str">
        <x:v>article</x:v>
      </x:c>
      <x:c r="H62" s="7" t="str"/>
      <x:c r="I62" s="7" t="str">
        <x:v>https://pearl.plymouth.ac.uk/handle/10026.1/13863</x:v>
      </x:c>
      <x:c r="J62" s="7" t="str">
        <x:v>The introduction of Remotely Operated Vehicles (ROVs) and manned submersibles has meant scientists can finally begin study deep-water scleractinian coral reefs, making valuable first-hand observations of the reefs themselves and their associated fauna. Known influences of deepwater coral reef distribution include the topography of the seabed, presence of currents, high nutrient levels and low sedimentation levels. Chemical tolerances (such as salinity, temperature range and calcium carbonate availability) are mostly known for only Lophelia pertusa corals. Debates exist within literature over the possible influence of hydrocarbon seeps from the seabed on coral reef growth and distribution. Studies show the importance of deep-water coral reefs as habitat for fish and invertebrates. Some faunal habitat associations have been looked at, yet not studied in detail. The majority of this research has looked for fish association with the deep-water coral reefs. Proposed reasons for these associations include the reef habitat being a structural refuge from predation, a suitable feeding habitat and a protective nursery for juvenile fish. There are relatively few studies undertaken into the presence of other faunal groups on deep-water coral reefs, though there is some qualitative data obtained from analyses of fish stomachs. Benthic trawling for commercial fish spp has, over the years, destroyed large portions of deep-water coral reefs. The future predicted rise in atmospheric CO2 may also impact this habitat detrimentally by altering the chemistry of the seawater. For such slow-growing, fragile organisms as corals, these habitat loses may never be regained. The Plymouth Student Scientist, 2009, 2, (1), 203-211 ISSN 1754-2383 [Online] ©University of Plymouth [204] Introduction The existence of deep-sea coral reefs has been known for over 100 years (Hatcher &amp; Scheibling, 2001). However, unlike their shallow water counterparts, very little is known of deep-sea coral reefs. This is because it is only in recent years that technology has enabled scientists to gain first-hand knowledge into the deep-sea’s unseen, aphotic expanse. Indeed, it is often said that ‘we know more about the surface of the moon than we do about the sea floor ‘(SAMS, 2005). The past decade has brought the valuable introduction and use of new technologies with which to better study the ecology of deep ocean floor habitats. The use of Remotely Operated Vehicles (ROVs) and manned submersibles has meant scientists can finally observe deep-water, benthic organisms in their natural environment; permitting studies into their true habitat associations, behaviours and hypotheses regarding ecosystem functions. Prior to the availability and use of such technologies, much of our understanding of these habitats was based on fisherman’s reports of trawling the seabed and what they had found. Any inferences (eg about organism habitat associations) derived from trawl data may be misleading. For example, though habitat associations could be assumed due to the catch of a certain organism in the same trawl as a deep-water coral fragment, the trawl could be taken over different types of benthic habitat; thus the organism in question may have been located in a non-reef habitat (eg seabed) far away from the coral. Furthermore, many habitat fragments caught within a trawl net are unidentifiable. Therefore, many trawl-derived organism data is merely qualitative and cannot be treated as a valid quantitative survey of a benthic habitat (Ross &amp; Quattrini, 2007). In contrast to this unreliability of data gleamed from benthic trawls, the first-hand observational data obtained from ROV or manned submersible dives is valid and more informative. For example, upon observation of a benthic habitat, certain environmental conditions (eg currents, nutrients, sediment mixing etc) can be noted and may even help to explain the presence / absence of certain species within a habitat (Trenkel et al., 2004). None of this information could be known from trawl-derived data. What is a Deep-Water Coral Reef? Coral reefs that this review is concerned with are constructed by colonies of Scleractinian (reef-building) stony corals. As these coral polyps grow they deposit a calcareous skeleton and it is this that forms the reef structure (Roberts et al., 2006). The known types of cold-water scleractinian corals include Lophelia pertusa, Madrepora oculata, Goniocorella dumosa, Oculina varicosa, Enallopsammia profunda and Solenosmilia variabilis (Freiwald et al., 2004). Of these, Lophelia pertusa is probably the most studied, and covers a large geographical range (Freiwald et al., 2004; Costello et al., 2005; Husebo et al., 2002). The present review aims to ascertain our current understanding of deep-water coral reefs in terms of their worldwide distribution, faunal ecology and any anthropogenic impacts upon these unique habitats. This review defines a deep-water coral reef as being more than 100m depth. Therefore, those found in the cold, current swept fjords are excluded from this review; as are any other cold-water coral reefs occurring shallower than 100m. The Plymouth Student Scientist, 2009, 2, (1), 203-211 ISSN 1754-2383 [Online] ©University of Plymouth [205] Distribution Deep-water coral reefs have a cosmopolitan distribution, occurring in all ocean basins (Guinotte et al., 2006), on areas of the seabed with certain rugged topographies such as continental shelves and slopes, seamounts and oceanic banks (for exact locations, see appropriate references from Freiwald et al., 2004). They have also been observed to inhabit the artificial structures of oil and gas platforms (Gas &amp; Roberts, 2006) and shipwrecks (Costello et al., 2005). Though scientific study of deep-water coral reefs is limited, it is known that corals require hard substrate for attachment, together with a surrounding temperature between 4C and 12C (Roberts et al., 2006). Deep-water coral reefs are found in current swept areas of the seabed. This is because whereas corals of shallow, tropical waters rely on the photosynthetic products of their symbiotic algae for nutrition, deep-water corals are azooxanthellate (lack symbiotic algae) filter-feeders, relying upon currents to supply them with nutrition. Furthermore, currents minimise sediment deposition on the coral reefs. This is also beneficial to the corals as sediment build-up can fatally damage these fragile feeding tentacles. Little is known in scientific literature about the reproductive biology of deep-water corals. Van Soest et al (2007) assumes that they must have a planktonic larval stage reminiscent of shallow water coral reefs. Gas and Roberts (2006) are in agreement with this and say that the fact no Lophelia pertusa corals were found in the North Sea before the introduction (and subsequent colonisation) of oil and gas platforms (providing hard substrata) is proof of a planktonic larva stage (see also Fossa et al., 2002). However, without further investigation, the theory of reproduction via broadcast spawning in deepwater corals remains purely an assumption (Burgess &amp; Babcock, 2005). Furthermore, recent studies have related the abundance of deep-water scleractinian corals to the depth of the Aragonite Saturation Horizon (ASH). Aragonite is the form of calcium carbonate required by corals to build their skeletons, and therefore needs to be available in the surrounding water. Thus, Guinotte et al (2006) attributed (at least in part) the high abundance of deep-water scleractinian corals in the North Atlantic to its deep (&gt;2km) ASH, and likewise the octocoral and stylasterid (soft corals, non-reef building) dominated North Pacific to its much shallower (50-600m) ASH. The few scleractinian corals observed in the North Pacific tended to be solitary as opposed to reef-forming, supporting this hypothesis. There is much debate in scientific literature as to whether or not the formation of deepwater coral reefs relies upon</x:v>
      </x:c>
      <x:c r="K62" s="11" t="str">
        <x:v>NO</x:v>
      </x:c>
      <x:c r="L62" s="7" t="str">
        <x:v>NOT_CONFIRMED</x:v>
      </x:c>
      <x:c r="M62" s="7" t="str"/>
      <x:c r="N62" s="7" t="str">
        <x:v>VERIFIED_BIBLIOGRAPHIC_DOCUMENT</x:v>
      </x:c>
      <x:c r="O62" s="7" t="str"/>
      <x:c r="P62" s="11" t="str"/>
      <x:c r="Q62" s="7" t="str"/>
      <x:c r="R62" s="7" t="str"/>
      <x:c r="S62" s="7" t="str"/>
      <x:c r="T62" s="7" t="str"/>
      <x:c r="U62" s="7" t="str"/>
      <x:c r="V62" s="7" t="str">
        <x:v>PRODUCTION_CORE_INCLUDE</x:v>
      </x:c>
      <x:c r="W62" s="7" t="str">
        <x:v>PROD-03629</x:v>
      </x:c>
    </x:row>
    <x:row r="63" ht="42" customHeight="1">
      <x:c r="A63" s="17" t="str">
        <x:v>A</x:v>
      </x:c>
      <x:c r="B63" s="7" t="str">
        <x:v>CWC-BE8A1663711D</x:v>
      </x:c>
      <x:c r="C63" s="7" t="str">
        <x:v>Lophelia pertusa in Norwegian waters. What have we learned since 2008</x:v>
      </x:c>
      <x:c r="D63" s="7" t="str">
        <x:v>Johanna Järnegren | Tina Kutti</x:v>
      </x:c>
      <x:c r="E63" s="11" t="str">
        <x:v>2014</x:v>
      </x:c>
      <x:c r="F63" s="7" t="str">
        <x:v>BIBSYS Brage (BIBSYS (Norway))</x:v>
      </x:c>
      <x:c r="G63" s="7" t="str">
        <x:v>report</x:v>
      </x:c>
      <x:c r="H63" s="7" t="str"/>
      <x:c r="I63" s="7" t="str">
        <x:v>http://hdl.handle.net/11250/2397719</x:v>
      </x:c>
      <x:c r="J63" s="7" t="str">
        <x:v>Järnegren, J. &amp; Kutti, T. 2014. Lophelia pertusa in Norwegian waters. What have we learned \nsince 2008? – NINA Report 1028. 40 pp. \nThis report was requested by the Norwegian Environment Agency as a platform of knowledge to \nevaluate Lophelia pertusa as a possible “selected nature type” (utvalgt naturtype). It is a literature \nreview that summarizes available knowledge since 2008 on Lophelia pertusa biology, ecosystem \nstructure and functioning. In addition, existing knowledge on the response of Lophelia to the \neffects of increased ocean temperature and acidification and expanding industrial activities are \ndescribed. \nLophelia pertusa (Linné, 1758) is a common stony coral, which forms extensive reefs in deep \nwaters around the world. It has a wide range of tolerance, but is most abundant where bottom \nwater temperatures range between 6-9°C, salinity is around 35, and with oxygen levels of 6.0- \n6.2 ml/L. “High quality” coral sites, such as most of the Norwegian Lophelia habitats, are associated \nwith bottom waters with Dissolved Inorganic Carbon (DIC) values &lt;2170 µmol/kg and within \na seawater density envelope of 27.35-27.65 kg/m3 \n. Lophelia does not contain photosynthetic \nsymbionts but feeds on zooplankton, phytoplankton, bacteria and Dissolved Organic Material \n(DOM), depending on their availability. Most Norwegian Lophelia reefs seem to depend mainly \non zooplankton for feed. \nThe occurrence of Lophelia varies from scattered colonies or groups of colonies to vast reef \ncomplexes (such as the Røst and Sula reefs). Lophelia is distributed along most of the Norwegian \ncoast, with the highest densities occurring on the continental shelf north of Stadt up to Lofoten \nand along the coasts and fjords of Møre og Romsdal and Trøndelag. Lophelia has a linear \npolyp extension rate of approximately 10 mm year-1 and the growth of a reef can amount to 5 \nmm year-1 \n. All reefs in Norwegian fjords and on the shelf have been formed after the retreat of \nthe ice-sheet and the oldest reefs are around 8000 years. \nThe Lophelia reefs are regarded as hot spots for biodiversity and carbon cycling. The reefs are \ninhabited by a high number of invertebrates and seem to act as preferred habitat also for some \ncommon demersal fish. In the reefs carbon remineralization can be elevated by up to 25% compared \nto “normal” shelf sediments. Thus, Lophelia plays a key role in benthic ecosystems in \nNorwegian waters. \nLophelia ecosystems have come under increasing anthropogenic pressure due to releases of \nsuspended particles from the aquaculture-, oil and gas-, mining- and bottom trawling industry. \nChanges in ocean temperature and the ongoing acidification will act as additional stressors on \nLophelia ecosystems. Ocean acidification is considered the most serious threat. Lophelia appears \nto cope quite well with moderate sedimentation events. Laboratory studies have shown \nthat the short-term cost of this appears to be low on adults but appears highly detrimental for \nlarvae. Further, laboratory studies have shown that Lophelia resists realistic near-future increases \nin pCO2 levels reasonably well. \nHowever, there might be substantial negative effects on the reef structure. Although studies indicate \nthat Lophelia appears to handle single stressors over short time periods quite well, additional \neffects could be detrimental. It is considered urgent to learn more on the effects of multiple \nstress factors and long-term exposure to stressful conditions. Of all known Lophelia occurrences \nin the world, 30% are from the Norwegian shelf giving Norway a special responsibility in managing \nthis species and the ecosystem it creates.</x:v>
      </x:c>
      <x:c r="K63" s="11" t="str">
        <x:v>NO</x:v>
      </x:c>
      <x:c r="L63" s="7" t="str">
        <x:v>NOT_CONFIRMED</x:v>
      </x:c>
      <x:c r="M63" s="7" t="str"/>
      <x:c r="N63" s="7" t="str">
        <x:v>VERIFIED_BIBLIOGRAPHIC_DOCUMENT</x:v>
      </x:c>
      <x:c r="O63" s="7" t="str"/>
      <x:c r="P63" s="11" t="str"/>
      <x:c r="Q63" s="7" t="str"/>
      <x:c r="R63" s="7" t="str"/>
      <x:c r="S63" s="7" t="str"/>
      <x:c r="T63" s="7" t="str"/>
      <x:c r="U63" s="7" t="str"/>
      <x:c r="V63" s="7" t="str">
        <x:v>PRODUCTION_CORE_INCLUDE</x:v>
      </x:c>
      <x:c r="W63" s="7" t="str">
        <x:v>PROD-03631</x:v>
      </x:c>
    </x:row>
    <x:row r="64" ht="42" customHeight="1">
      <x:c r="A64" s="17" t="str">
        <x:v>A</x:v>
      </x:c>
      <x:c r="B64" s="7" t="str">
        <x:v>CWC-DCF5D4E014D1</x:v>
      </x:c>
      <x:c r="C64" s="7" t="str">
        <x:v>Deep-sea sponges in an Anthropocene ocean</x:v>
      </x:c>
      <x:c r="D64" s="7" t="str">
        <x:v>Erik Wurz</x:v>
      </x:c>
      <x:c r="E64" s="11" t="str">
        <x:v>2022</x:v>
      </x:c>
      <x:c r="F64" s="7" t="str">
        <x:v>Wageningen University &amp; Research</x:v>
      </x:c>
      <x:c r="G64" s="7" t="str">
        <x:v>dissertation</x:v>
      </x:c>
      <x:c r="H64" s="7" t="str">
        <x:v>10.18174/572809</x:v>
      </x:c>
      <x:c r="I64" s="7" t="str">
        <x:v>https://doi.org/10.18174/572809</x:v>
      </x:c>
      <x:c r="J64" s="7" t="str">
        <x:v>Plumes of re-suspended sediment potentially smother and clog the aquiferous system of filter-feeding sponges with unknown implications for their health. For the first time we examined the physiological responses of repeated exposure to natural sediment in the glass sponge Vazella pourtalesii, which forms dense sponge grounds in Emerald Basin off Nova Scotia, Canada. Ex situ chamber-based measurements of bacterial clearance and oxygen consumption (respiration) rates indicated that individuals subjected to elevated concentrations of suspended sediment expressed normal clearance and respiration rates over 7 days of sediment exposure, indicating an ability to cope with elevated concentrations of indigestible sediment particles. However, clearance rates significantly declined after 14 days of sediment exposure, suggesting an inability to cope with long-term exposure to increased sediment load. Therefore, long-term exposure to elevated concentrations of suspended sediment should be avoided in order to minimize adverse effects on the abundant Vazella sponge grounds.</x:v>
      </x:c>
      <x:c r="K64" s="11" t="str">
        <x:v>NO</x:v>
      </x:c>
      <x:c r="L64" s="7" t="str">
        <x:v>NOT_CONFIRMED</x:v>
      </x:c>
      <x:c r="M64" s="7" t="str"/>
      <x:c r="N64" s="7" t="str">
        <x:v>VERIFIED_BIBLIOGRAPHIC_DOCUMENT</x:v>
      </x:c>
      <x:c r="O64" s="7" t="str"/>
      <x:c r="P64" s="11" t="str"/>
      <x:c r="Q64" s="7" t="str"/>
      <x:c r="R64" s="7" t="str"/>
      <x:c r="S64" s="7" t="str"/>
      <x:c r="T64" s="7" t="str"/>
      <x:c r="U64" s="7" t="str"/>
      <x:c r="V64" s="7" t="str">
        <x:v>PRODUCTION_CORE_INCLUDE</x:v>
      </x:c>
      <x:c r="W64" s="7" t="str">
        <x:v>PROD-03878</x:v>
      </x:c>
    </x:row>
    <x:row r="65" ht="42" customHeight="1">
      <x:c r="A65" s="17" t="str">
        <x:v>A</x:v>
      </x:c>
      <x:c r="B65" s="7" t="str">
        <x:v>CWC-9E593C627937</x:v>
      </x:c>
      <x:c r="C65" s="7" t="str">
        <x:v>Responsiveness of Glass Sponges to Suspended Sediments at Canada’s Glass Sponge Reefs</x:v>
      </x:c>
      <x:c r="D65" s="7" t="str">
        <x:v>Nathan J.R. Grant</x:v>
      </x:c>
      <x:c r="E65" s="11" t="str">
        <x:v>2018</x:v>
      </x:c>
      <x:c r="F65" s="7" t="str">
        <x:v>University of Alberta Library</x:v>
      </x:c>
      <x:c r="G65" s="7" t="str">
        <x:v>dissertation</x:v>
      </x:c>
      <x:c r="H65" s="7" t="str">
        <x:v>10.7939/r3k64b85v</x:v>
      </x:c>
      <x:c r="I65" s="7" t="str">
        <x:v>https://doi.org/10.7939/r3k64b85v</x:v>
      </x:c>
      <x:c r="J65" s="7" t="str">
        <x:v>Glass sponge reefs are globally unique ecosystems on Canada’s western continental shelf that are susceptible to harm from fishing (e.g., bottom-contact trawling). In 2017, a marine protected area (MPA) was created to protect four of these reefs in Hecate Strait and Queen Charlotte Sound. Three sponge species form the reefs, Aphrocallistes vastus, Heterochone calyx and Farrea occa. Glass sponges are filter feeders, pumping water through their bodies to remove bacteria and oxygen and excrete wastes. Previous laboratory studies had shown glass sponges arrest their filtration in response to suspended sediment; this has never been studied in situ. Therefore the aim of this thesis was to determine whether glass sponge filtration is affected by resuspended sediments at the sponge reefs. The work was carried out at two reefs, one in the Strait of Georgia, BC and the other at the Hecate Strait and Queen Charlotte Sound Marine Protected Area. Using a remotely operated vehicle (ROV), current profilers and turbidity meters were deployed beside the glass sponge Aphrocallistes vastus on Fraser Ridge reef in the Strait of Georgia, BC, which is currently closed to bottom-contact fishing but which is not a MPA. Custom flowmeters were positioned into sponge oscula to record changes in filtration and changes in suspended sediment concentrations (SSC) were measured by changes in transmissivity using optical backscatter sensors. Sediment disturbances were created by the ROV. Increases in SSCs to 10 – 80 mg l-1 were correlated with decreased excurrent flow rate (r = -0.83 to -0.92). Both single arrests, lasting only 5 min in duration, and longer ‘coughing’ arrests lasting &gt; 30 min were recorded, and together reduced feeding by up to 70%. A. vastus dominates Fraser Ridge reef, whereas two other species, Heterochone calyx and Farrea occa, comprise large portions of reef in the more northern Hecate Strait MPA. To determine whether species- or habitat-specific variations in the physiology of arrests in glass sponges, the responses of H. calyx, F. occa as well as a non-reef forming species, Rhabdocalyptus dawsoni, were studied in the MPA. Small sediment disturbances (&lt; 5 – 10 mg l-1) generated by the ROV triggered single arrests in both H. calyx and R. dawsoni. H. calyx appeared to clog following two hours of exposure to SSCs of 3.2 mg l-1 and R. dawsoni arrested all pumping activity following extend exposure to SSCs &lt; 1 mg l-1 above natural levels of turbidity (2.71 mg l-1). No arrests were recorded from F. occa but the low pumping rate of this sponge made it difficult to record flow out of this species. The distance suspended sediments could be transported was estimated using sediment collected from the reefs, and a settlement model. The model showed that a plume of sediment with &lt;20 µm grain size has a range greater than the narrower portions of the MPA boundaries and would remain at high enough SSCs to induce arrests within the species studied. This study confirmed that different glass sponge species arrest filtration in response to elevated SSCs in situ. The thresholds for response varies between A. vastus, H. calyx and R. dawsoni, but all are significantly lower than those known to be generated by trawling (~ 100 – 500 mg l-1). These results provide threshold and response data for use in current and future conservation of Canada’s glass sponge reefs.</x:v>
      </x:c>
      <x:c r="K65" s="11" t="str">
        <x:v>NO</x:v>
      </x:c>
      <x:c r="L65" s="7" t="str">
        <x:v>NOT_CONFIRMED</x:v>
      </x:c>
      <x:c r="M65" s="7" t="str"/>
      <x:c r="N65" s="7" t="str">
        <x:v>VERIFIED_BIBLIOGRAPHIC_DOCUMENT</x:v>
      </x:c>
      <x:c r="O65" s="7" t="str"/>
      <x:c r="P65" s="11" t="str"/>
      <x:c r="Q65" s="7" t="str"/>
      <x:c r="R65" s="7" t="str"/>
      <x:c r="S65" s="7" t="str"/>
      <x:c r="T65" s="7" t="str"/>
      <x:c r="U65" s="7" t="str"/>
      <x:c r="V65" s="7" t="str">
        <x:v>PRODUCTION_CORE_INCLUDE</x:v>
      </x:c>
      <x:c r="W65" s="7" t="str">
        <x:v>PROD-03880</x:v>
      </x:c>
    </x:row>
    <x:row r="66" ht="42" customHeight="1">
      <x:c r="A66" s="17" t="str">
        <x:v>A</x:v>
      </x:c>
      <x:c r="B66" s="7" t="str">
        <x:v>CWC-F886D4D45E18</x:v>
      </x:c>
      <x:c r="C66" s="7" t="str">
        <x:v>Science response: glass sponge reefs HSQCS MPA</x:v>
      </x:c>
      <x:c r="D66" s="7" t="str">
        <x:v>Fisheries and Oceans Canada | Pêches et Océans Canada</x:v>
      </x:c>
      <x:c r="E66" s="11" t="str">
        <x:v>2022</x:v>
      </x:c>
      <x:c r="F66" s="7" t="str">
        <x:v>Federal Open Science Repository of Canada / Le Dépôt fédéral de science ouverte du Canada</x:v>
      </x:c>
      <x:c r="G66" s="7" t="str">
        <x:v>report</x:v>
      </x:c>
      <x:c r="H66" s="7" t="str"/>
      <x:c r="I66" s="7" t="str">
        <x:v>https://open-science.canada.ca/handle/123456789/847</x:v>
      </x:c>
      <x:c r="J66" s="7" t="str">
        <x:v>Marine Protected Areas (MPAs) play important roles in conserving marine ecosystems worldwide. Under Canada’s Ocean’s Act, Fisheries and Oceans Canada (DFO) established nine Glass Sponge Reef Marine Refuges in the Strait of Georgia and eight in Howe Sound, British Columbia. Further to that, DFO established the Hecate Strait and Queen Charlotte Sound (HSQCS) MPA (Figure 1) to protect glass sponge habitats within three spatially-distinct reef complexes—the Northern Reef, the Central Reefs, and the Southern Reef (Government of Canada 2017). Each reef complex is made up of three management zone types: the core protection zone (CPZ), adaptive management zone (AMZ) and vertical adaptive management zone (VMZ). While all harmful human activities are prohibited in the CPZs, the MPA Regulations allow for some limited fishing activities in the AMZs and VMZs—including recreational fisheries and Indigenous fishing for Food, Social and Ceremonial purposes. Currently, all commercial bottom-contact fishing and midwater trawling in the MPA is prohibited by Fisheries Act Variation Orders. While the HSQCS MPA is designed to protect unique marine ecosystems formed by glass sponge reefs, the effectiveness of the MPA depends on how well the AMZ boundaries function as a protective measure. The existing AMZ boundaries within the HSQCS MPA range from 0.6 to 4.5 km from the CPZ boundaries. The glass sponge reefs off British Columbia are the habitat for many commercially important fish and are subject to fishing pressure such as bottom-contact trawl fishing. Bottom-contact trawl fishing can result in physical damage to habitat directly, and also negatively impact on glass sponge reefs indirectly by suspending a large amount of sediment, which can then be transported into the CPZ. Glass sponges are highly efficient water filterers that constantly filter and pump in organic and inorganic particles. However, they can quickly arrest their pumping activities in response to the exposure to sediments. Multiple arrests may reduce energy uptake of glass sponges, which could negatively affect their health; while the long-term effects of repeated sediment exposure and arrests on their health and population remain to be a knowledge gap (Grant et al. 2019). Grant et al. (2018) found that in the Strait of Georgia, glass sponges cease pumping (arrested) at suspended sediment concentration far lower than concentrations that can be triggered by bottom-contact trawling. Furthermore, Grant et al. (2019) found that different species of glass sponges in the HSQCS MPA respond differently to the exposure of suspended sediments. They showed that the distance required from the AMZs to the CPZs depends on ocean environmental conditions and suggested that the existing AMZs in the HSQCS MPA may not be adequate to achieve effective conservation. DFO Oceans has requested DFO Science to: 1) assess whether the existing AMZ boundaries are sufficient to protect the glass sponge reefs from suspended sedimentation impacts of mobile, bottom contact fishing gear, and 2) estimate new AMZ boundaries if the current boundaries do not provide sufficient protection for the sponge reefs. This Science Response Report results from the Regional Science Response Process of November 20, 2020 on Adaptive Management Zones for Hecate Strait/Queen Charlotte Sound Glass Sponge Reefs Marine Protected Areas.</x:v>
      </x:c>
      <x:c r="K66" s="11" t="str">
        <x:v>NO</x:v>
      </x:c>
      <x:c r="L66" s="7" t="str">
        <x:v>NOT_CONFIRMED</x:v>
      </x:c>
      <x:c r="M66" s="7" t="str"/>
      <x:c r="N66" s="7" t="str">
        <x:v>VERIFIED_BIBLIOGRAPHIC_DOCUMENT</x:v>
      </x:c>
      <x:c r="O66" s="7" t="str"/>
      <x:c r="P66" s="11" t="str"/>
      <x:c r="Q66" s="7" t="str"/>
      <x:c r="R66" s="7" t="str"/>
      <x:c r="S66" s="7" t="str"/>
      <x:c r="T66" s="7" t="str"/>
      <x:c r="U66" s="7" t="str"/>
      <x:c r="V66" s="7" t="str">
        <x:v>PRODUCTION_CORE_INCLUDE</x:v>
      </x:c>
      <x:c r="W66" s="7" t="str">
        <x:v>PROD-03883</x:v>
      </x:c>
    </x:row>
    <x:row r="67" ht="42" customHeight="1">
      <x:c r="A67" s="17" t="str">
        <x:v>A</x:v>
      </x:c>
      <x:c r="B67" s="7" t="str">
        <x:v>CWC-8AA509C80D0B</x:v>
      </x:c>
      <x:c r="C67" s="7" t="str">
        <x:v>Monitoring of a Drilling Operation Within a Coral Sensitive area - Case Pumbaa ( Norway)</x:v>
      </x:c>
      <x:c r="D67" s="7" t="str">
        <x:v>Thomas Møskeland | Amund Ulfsnes | Line Emilie Sverdrup | Jannecke A. Moe | Morten Løkken</x:v>
      </x:c>
      <x:c r="E67" s="11" t="str">
        <x:v>2012</x:v>
      </x:c>
      <x:c r="F67" s="7" t="str">
        <x:v>Society of Petroleum Engineers conference proceedings</x:v>
      </x:c>
      <x:c r="G67" s="7" t="str">
        <x:v>conference-paper</x:v>
      </x:c>
      <x:c r="H67" s="7" t="str">
        <x:v>10.2118/156544-ms</x:v>
      </x:c>
      <x:c r="I67" s="7" t="str">
        <x:v>https://doi.org/10.2118/156544-ms</x:v>
      </x:c>
      <x:c r="J67" s="7" t="str">
        <x:v>Abstract Deepwater corals (Lophelia) were identified in the vicinity of the location of the exploration well Pumbaa (NOCS 6407/12-2) on the Norwegian Continental Shelf where a drilling operation was carried out by the GDF SUEZ E&amp;P Norge AS (GDF SUEZ). Det Norske Veritas AS has on behalf of GDF SUEZ conducted an environmental monitoring of drilling activities at Pumbaa (NOCS 6407/12-2). Because of registrations of deep water corals (Lophelia) in the Pumbaa area, and due to specific requirements - a relatively comprehensive monitoring of the drilling activities was carried out. Only the drill cuttings from the top hole sections were discharged at the sea floorThe generated cuttings and used mud from deeper well sections were not discharged to sea. In order to increase the distance to the nearest corals from the discharge point, a Cuttings Transport System (CTS) was used to transport discharges from the top hole sections and all discharges were at 300m distance NNW (310 degrees) of well location. The main objective of the monitoring was to assess effects from the drilling activities on the corals south (and nearest) of the drilling location. The monitoring program included measurements of current, turbidity and sedimentation, as well as sampling of sediments from the seafloor. Sediment samples from the seafloor and sedimentation traps were analyzed for heavy metals and physical parameters. Coral structures were visually inspected before, during and after drilling operations.</x:v>
      </x:c>
      <x:c r="K67" s="11" t="str">
        <x:v>NO</x:v>
      </x:c>
      <x:c r="L67" s="7" t="str">
        <x:v>NOT_CONFIRMED</x:v>
      </x:c>
      <x:c r="M67" s="7" t="str"/>
      <x:c r="N67" s="7" t="str">
        <x:v>VERIFIED_BIBLIOGRAPHIC_DOCUMENT</x:v>
      </x:c>
      <x:c r="O67" s="7" t="str"/>
      <x:c r="P67" s="11" t="str"/>
      <x:c r="Q67" s="7" t="str"/>
      <x:c r="R67" s="7" t="str"/>
      <x:c r="S67" s="7" t="str"/>
      <x:c r="T67" s="7" t="str"/>
      <x:c r="U67" s="7" t="str"/>
      <x:c r="V67" s="7" t="str">
        <x:v>PRODUCTION_CORE_INCLUDE</x:v>
      </x:c>
      <x:c r="W67" s="7" t="str">
        <x:v>PROD-03932</x:v>
      </x:c>
    </x:row>
    <x:row r="68" ht="42" customHeight="1">
      <x:c r="A68" s="17" t="str">
        <x:v>A</x:v>
      </x:c>
      <x:c r="B68" s="7" t="str">
        <x:v>CWC-789F37BA22AF</x:v>
      </x:c>
      <x:c r="C68" s="7" t="str">
        <x:v>Sediment plume simulation from bottom-trawled fishery and deposition effects on rhodoliths and deep-water corals from Campos basin, Brazil</x:v>
      </x:c>
      <x:c r="D68" s="7" t="str">
        <x:v>Pedro Mello Paiva | Jader Lugon | Luciano Gomes Fischer | Maria Manuela Fraga Juliano | Emiliano Nicolas Calderón | Maurício Mussi Molisani</x:v>
      </x:c>
      <x:c r="E68" s="11" t="str">
        <x:v>2023</x:v>
      </x:c>
      <x:c r="F68" s="7" t="str">
        <x:v>Revista de Gestão Costeira Integrada</x:v>
      </x:c>
      <x:c r="G68" s="7" t="str">
        <x:v>article</x:v>
      </x:c>
      <x:c r="H68" s="7" t="str">
        <x:v>10.5894/rgci-n501</x:v>
      </x:c>
      <x:c r="I68" s="7" t="str">
        <x:v>https://doi.org/10.5894/rgci-n501</x:v>
      </x:c>
      <x:c r="J68" s="7" t="str">
        <x:v>Extensive rhodoliths and deep-water coral has been described along the continental shelf and slope of the Campos Basin, but such environments can be highly vulnerable to the bottom trawling fishing. This study applied the MOHID software to simulate the sediment resuspension during the bottom trawling operation and to evaluate possible impacts of sediment deposition onto rhodoliths and deep-water coral. The sediment transport model was validated by field measurements of a bottom trawling operation and presented good accuracy. The results indicated that sediment resuspension by a double-rig trawling induced a 0.13 mm sediment layer deposition onto the rhodoliths from the continental shelf which has potential deleterious effects considered that such thickness is higher than the threshold proposed by the literature. On the contrary, a sediment resuspension/deposition by a single-rig trawling has no impact in the deep-water corals from the continental slope based on the thin layer deposition that was lower than the proposed tolerance limits.</x:v>
      </x:c>
      <x:c r="K68" s="11" t="str">
        <x:v>YES</x:v>
      </x:c>
      <x:c r="L68" s="7" t="str">
        <x:v>FROZEN_PUBLIC_FULL_TEXT_LOCATION</x:v>
      </x:c>
      <x:c r="M68" s="7" t="str">
        <x:v>https://doi.org/10.5894/rgci-n501</x:v>
      </x:c>
      <x:c r="N68" s="7" t="str">
        <x:v>VERIFIED_BIBLIOGRAPHIC_DOCUMENT</x:v>
      </x:c>
      <x:c r="O68" s="7" t="str"/>
      <x:c r="P68" s="11" t="str"/>
      <x:c r="Q68" s="7" t="str"/>
      <x:c r="R68" s="7" t="str"/>
      <x:c r="S68" s="7" t="str"/>
      <x:c r="T68" s="7" t="str"/>
      <x:c r="U68" s="7" t="str"/>
      <x:c r="V68" s="7" t="str">
        <x:v>PRODUCTION_CORE_INCLUDE</x:v>
      </x:c>
      <x:c r="W68" s="7" t="str">
        <x:v>PROD-03959</x:v>
      </x:c>
    </x:row>
    <x:row r="69" ht="42" customHeight="1">
      <x:c r="A69" s="17" t="str">
        <x:v>A</x:v>
      </x:c>
      <x:c r="B69" s="7" t="str">
        <x:v>CWC-BF9D8CD707ED</x:v>
      </x:c>
      <x:c r="C69" s="7" t="str">
        <x:v>Use of Riserless Mud Recovery for Protection of Cold Water Corals While Drilling in Norwegian Sea</x:v>
      </x:c>
      <x:c r="D69" s="7" t="str">
        <x:v>Macdonald Daniel</x:v>
      </x:c>
      <x:c r="E69" s="11" t="str">
        <x:v>2016</x:v>
      </x:c>
      <x:c r="F69" s="7" t="str">
        <x:v>SPE International Conference and Exhibition on Health, Safety, Security, Environment, and Social Responsibility</x:v>
      </x:c>
      <x:c r="G69" s="7" t="str">
        <x:v>conference-paper</x:v>
      </x:c>
      <x:c r="H69" s="7" t="str">
        <x:v>10.2118/179283-ms</x:v>
      </x:c>
      <x:c r="I69" s="7" t="str">
        <x:v>https://doi.org/10.2118/179283-ms</x:v>
      </x:c>
      <x:c r="J69" s="7" t="str">
        <x:v>Abstract The riserless mud recovery (RMR) system has been commercially available for 12 years and used on over 240 wells worldwide. There are several different drivers that typically result in the use of the system and it offers many secondary benefits for top hole drilling, regardless of the primary driver. For the well in question it was used to avoid damaging cold water corals through burial with drilling related sediment. This paper details the background behind the decision to use the system, as well as the system's performance and the resulting benefits and drawbacks to be considered when selecting to use it in this way. During a habitat assessment carried out in 2013, significant quantities of sponge and coral structures were identified as being present on the seafloor around the proposed spud location for well 6507/11-11 in the Norwegian Sea. The well was planned to be the first exploration well in the Zumba prospect in PL 591. A visual survey to assess the condition of the coral structures within 500 m of the planned spud location was carried out in 2014. The results of this survey were used to risk assess the extent of any potential damage to the corals resulting from the drilling process on the Zumba exploration well. This process confirmed the likelihood that some of the corals would be subjected to significant harm if the well was drilled as a conventional exploration well using water based drilling fluid. Typically this would involve discharging displaced drilling fluid, cement slurry and drill cuttings to the sea at or nearby the well site. This assessment drove the decision to contain and ship to shore for disposal all the excess drilling fluids and cuttings. The RMR system was used to achieve this cuttings containment solution during the top hole sections. This was a relatively unique use of the system in Norway because the 36" hole section was also drilled using total containment and no cuttings were discharged at sea.</x:v>
      </x:c>
      <x:c r="K69" s="11" t="str">
        <x:v>NO</x:v>
      </x:c>
      <x:c r="L69" s="7" t="str">
        <x:v>NOT_CONFIRMED</x:v>
      </x:c>
      <x:c r="M69" s="7" t="str"/>
      <x:c r="N69" s="7" t="str">
        <x:v>VERIFIED_BIBLIOGRAPHIC_DOCUMENT</x:v>
      </x:c>
      <x:c r="O69" s="7" t="str"/>
      <x:c r="P69" s="11" t="str"/>
      <x:c r="Q69" s="7" t="str"/>
      <x:c r="R69" s="7" t="str"/>
      <x:c r="S69" s="7" t="str"/>
      <x:c r="T69" s="7" t="str"/>
      <x:c r="U69" s="7" t="str"/>
      <x:c r="V69" s="7" t="str">
        <x:v>PRODUCTION_CORE_INCLUDE</x:v>
      </x:c>
      <x:c r="W69" s="7" t="str">
        <x:v>PROD-03963</x:v>
      </x:c>
    </x:row>
    <x:row r="70" ht="42" customHeight="1">
      <x:c r="A70" s="17" t="str">
        <x:v>A</x:v>
      </x:c>
      <x:c r="B70" s="7" t="str">
        <x:v>CWC-CA349EAD234B</x:v>
      </x:c>
      <x:c r="C70" s="7" t="str">
        <x:v>Potential biomarkers of metal toxicity in deep-sea invertebrates – A critical review of the omics data</x:v>
      </x:c>
      <x:c r="D70" s="7" t="str">
        <x:v>Cármen Sousa | Jin Sun | Nélia C. Mestre</x:v>
      </x:c>
      <x:c r="E70" s="11" t="str">
        <x:v>2024</x:v>
      </x:c>
      <x:c r="F70" s="7" t="str">
        <x:v>The Science of The Total Environment</x:v>
      </x:c>
      <x:c r="G70" s="7" t="str">
        <x:v>article</x:v>
      </x:c>
      <x:c r="H70" s="7" t="str">
        <x:v>10.1016/j.scitotenv.2024.175628</x:v>
      </x:c>
      <x:c r="I70" s="7" t="str">
        <x:v>https://doi.org/10.1016/j.scitotenv.2024.175628</x:v>
      </x:c>
      <x:c r="J70" s="7" t="str">
        <x:v>Deep-sea mining (DSM) activities are expected to release potentially toxic metal mixtures through the generation of sediment plumes to the marine environment. This may disrupt the normal functioning of biological mechanisms, adversely affecting deep-sea invertebrate organisms. It is thus essential to understand the ecotoxicological effects from these toxic elements in deep-sea organisms and the omics approaches applied to ecotoxicology are seen as promising tools. Here, we provide an overview of the principal biological modifications identified in deep-sea invertebrates when exposed to metals and critically evaluate the current knowledge and discuss which potential biomarkers may be useful after metal exposure. Most of the 50 omics studies on deep-sea invertebrates revised are comparative transcriptomes ( n = 41). Forty-three potential biomarker candidates are highlighted from immune system, 46 from cellular metabolism and 29 from oxidative stress. The processes mostly affected by metal toxicity in deep-sea invertebrates are related to innate immune defense; sulfur, chitin, and catabolic metabolism; antioxidation; and detoxification. We acknowledge the current limitations and future perspectives for their uses and emphasize the need to invest in further ecotoxicological studies using the omics approaches. Potential biomarkers were proposed for Cnidaria (e.g. coral, anemone), Porifera (e.g. sponge), Echinodermata (e.g. sea cucumber, brittle star, sea urchin), Mollusca (e.g. clam, mussel, snail), Arthropoda (e.g. shrimp, crab, amphipod) and Annelida (e.g. tubeworm) based on several Proteomic, Transcriptomic and Metabolomic published studies. • Fifty omics studies on metal-related exposure in deep-sea invertebrates reviewed • 41 biomarkers candidates prevailed in different omics approaches and various species. • 28 potential biomarkers identified from the few studies with metal challenges • Metal toxicity induced changes in immune system, metabolism and oxidative stress. • Validated biomarkers can be helpful to implement future disturbance threshold levels.</x:v>
      </x:c>
      <x:c r="K70" s="11" t="str">
        <x:v>NO</x:v>
      </x:c>
      <x:c r="L70" s="7" t="str">
        <x:v>NOT_CONFIRMED</x:v>
      </x:c>
      <x:c r="M70" s="7" t="str"/>
      <x:c r="N70" s="7" t="str">
        <x:v>VERIFIED_BIBLIOGRAPHIC_DOCUMENT</x:v>
      </x:c>
      <x:c r="O70" s="7" t="str"/>
      <x:c r="P70" s="11" t="str"/>
      <x:c r="Q70" s="7" t="str"/>
      <x:c r="R70" s="7" t="str"/>
      <x:c r="S70" s="7" t="str"/>
      <x:c r="T70" s="7" t="str"/>
      <x:c r="U70" s="7" t="str"/>
      <x:c r="V70" s="7" t="str">
        <x:v>PRODUCTION_CORE_INCLUDE</x:v>
      </x:c>
      <x:c r="W70" s="7" t="str">
        <x:v>PROD-04089</x:v>
      </x:c>
    </x:row>
    <x:row r="71" ht="42" customHeight="1">
      <x:c r="A71" s="17" t="str">
        <x:v>A</x:v>
      </x:c>
      <x:c r="B71" s="7" t="str">
        <x:v>CWC-18A1BC367C4A</x:v>
      </x:c>
      <x:c r="C71" s="7" t="str">
        <x:v>Avoidance and Mitigation of Coral and Sponge Species During Exploratory Drilling Activities Offshore Newfoundland and Labrador</x:v>
      </x:c>
      <x:c r="D71" s="7" t="str">
        <x:v>L. Gullage | V. Hayes | B. M. Neves | N. Wells | F. Cyr | F. J. Murillo</x:v>
      </x:c>
      <x:c r="E71" s="11" t="str">
        <x:v>2022</x:v>
      </x:c>
      <x:c r="F71" s="7" t="str">
        <x:v>Federal Open Science Repository of Canada / Le Dépôt fédéral de science ouverte du Canada</x:v>
      </x:c>
      <x:c r="G71" s="7" t="str">
        <x:v>report</x:v>
      </x:c>
      <x:c r="H71" s="7" t="str"/>
      <x:c r="I71" s="7" t="str">
        <x:v>https://open-science.canada.ca/handle/123456789/1614</x:v>
      </x:c>
      <x:c r="J71" s="7" t="str">
        <x:v>An investigation was conducted into the likely impacts of exploratory drilling to coral and sponge species in the Newfoundland and Labrador (NL) region, as well as the ways in which avoidance and mitigation measures can be applied to reduce them. Impacts described in existing literature suggest that coral and sponge species may experience changes in behaviour (e.g. feeding, reproduction), fitness, and survival as a result of physical damage, exposure to chemicals, and/or excess sedimentation which result from exploratory drilling activities. As outlined in the Fisheries Act, it is recommended that a “mitigation hierarchy” of: (1) avoid, (2) mitigate, (3) offset, be used to reduce risks to biodiversity. However, because offsetting impacts would not generally be compatible with benthic conservation objectives, they are not discussed in depth in this report. Following this hierarchy, the avoidance of exploratory drilling in existing special areas that have been previously delineated based on the presence of coral and/or sponge species in high densities is essential for preserving biodiversity in the region. This would include Significant Benthic Areas (SiBAs), Vulnerable Marine Ecosystems (VMEs), and any sites where the zone of influence from exploratory drilling would overlap SiBA or VME boundaries. Avoidance in areas outside SiBAs and VMEs where the density of coral and sponge species observed during pre-drill surveys meets the thresholds used to define SiBAs and VMEs is also of high importance. In addition, various modifications to existing exploratory drilling processes, intended to mitigate the impacts to coral and sponge species, without considerations to engineering and/or economic impacts, have also been outlined within the report. They would allow for reductions to the area of impact, the amount of cuttings generated, and the release of drilling muds into the environment, thereby reducing the overall impact to coral and sponge species in the area.</x:v>
      </x:c>
      <x:c r="K71" s="11" t="str">
        <x:v>NO</x:v>
      </x:c>
      <x:c r="L71" s="7" t="str">
        <x:v>NOT_CONFIRMED</x:v>
      </x:c>
      <x:c r="M71" s="7" t="str"/>
      <x:c r="N71" s="7" t="str">
        <x:v>VERIFIED_BIBLIOGRAPHIC_DOCUMENT</x:v>
      </x:c>
      <x:c r="O71" s="7" t="str"/>
      <x:c r="P71" s="11" t="str"/>
      <x:c r="Q71" s="7" t="str"/>
      <x:c r="R71" s="7" t="str"/>
      <x:c r="S71" s="7" t="str"/>
      <x:c r="T71" s="7" t="str"/>
      <x:c r="U71" s="7" t="str"/>
      <x:c r="V71" s="7" t="str">
        <x:v>PRODUCTION_CORE_INCLUDE</x:v>
      </x:c>
      <x:c r="W71" s="7" t="str">
        <x:v>PROD-04208</x:v>
      </x:c>
    </x:row>
    <x:row r="72" ht="42" customHeight="1">
      <x:c r="A72" s="17" t="str">
        <x:v>A</x:v>
      </x:c>
      <x:c r="B72" s="7" t="str">
        <x:v>CWC-D01C5CAA9EF2</x:v>
      </x:c>
      <x:c r="C72" s="7" t="str">
        <x:v>The CORAMM (Coral Risk Assessment, Monitoring and Modelling</x:v>
      </x:c>
      <x:c r="D72" s="7" t="str">
        <x:v>Laurenz Thomsen | Raeid M. M. Abed | Elke Allers | Melanie Bergmann | Dirk de Beer | Sarah Johnsen | Frederik De Laender | Ann I. Larsson | Tomas Lundälv | Tim W. Nattkemper | Ingunn Nilssen | Dick van Oevelen | Jörg Ontrup | Autun Purser | I. Rønning | Mathijs G.D. Smit | Usha Unnithan | Hannes Wagner | Tingting Wang</x:v>
      </x:c>
      <x:c r="E72" s="11" t="str">
        <x:v>2009</x:v>
      </x:c>
      <x:c r="F72" s="7" t="str">
        <x:v>Helmholtz-Zentrum für Polar-und Meeresforschung (Alfred-Wegener-Institut)</x:v>
      </x:c>
      <x:c r="G72" s="7" t="str">
        <x:v>conference-paper</x:v>
      </x:c>
      <x:c r="H72" s="7" t="str"/>
      <x:c r="I72" s="7" t="str">
        <x:v>https://epic.awi.de/id/eprint/20430/1/Tho2009a.pdf</x:v>
      </x:c>
      <x:c r="J72" s="7" t="str">
        <x:v>CORAMM aims to improve our knowledge of the impacts of high suspended sediment loads and drill cuttings on cold water coral communities. The project is multidisciplinary in approach, with sedimentologists, biologists, modellers and representatives from StatoilHydro all involved in furthering the current understanding of these ecosystems. CORAMM has 4 workpackages: WP1 concentrates on the development of novel video and image analysis tools to enable a better and faster evaluation of Lophelia pertusa community structure and health status. WP2 assembles and further develops sensor systems for environmental monitoring with special emphasis on particle dynamics. These systems can be used as autonomous stand-alone units or can be linked to the internet. WP3 carries out specific experiments with live coral colonies to elucidate and predict the effect of different particle size and microbial composition. WP4 will build advanced ecosystem models for cold water corals and use a physiology- based approach to predict the effect of different sediment loads on the performance of cold water corals. Here, we present the outcome of the first 18 months of research.</x:v>
      </x:c>
      <x:c r="K72" s="11" t="str">
        <x:v>NO</x:v>
      </x:c>
      <x:c r="L72" s="7" t="str">
        <x:v>NOT_CONFIRMED</x:v>
      </x:c>
      <x:c r="M72" s="7" t="str"/>
      <x:c r="N72" s="7" t="str">
        <x:v>VERIFIED_BIBLIOGRAPHIC_DOCUMENT</x:v>
      </x:c>
      <x:c r="O72" s="7" t="str"/>
      <x:c r="P72" s="11" t="str"/>
      <x:c r="Q72" s="7" t="str"/>
      <x:c r="R72" s="7" t="str"/>
      <x:c r="S72" s="7" t="str"/>
      <x:c r="T72" s="7" t="str"/>
      <x:c r="U72" s="7" t="str"/>
      <x:c r="V72" s="7" t="str">
        <x:v>PRODUCTION_CORE_INCLUDE</x:v>
      </x:c>
      <x:c r="W72" s="7" t="str">
        <x:v>PROD-04643</x:v>
      </x:c>
    </x:row>
    <x:row r="73" ht="42" customHeight="1">
      <x:c r="A73" s="17" t="str">
        <x:v>A</x:v>
      </x:c>
      <x:c r="B73" s="7" t="str">
        <x:v>CWC-E4592A38921D</x:v>
      </x:c>
      <x:c r="C73" s="7" t="str">
        <x:v>Side Scan Sonar and TV Observations of the Benthic Environment and Megabenthos in the Vicinity of an OCS Exploratory Well in the Middle Atlantic Bight</x:v>
      </x:c>
      <x:c r="D73" s="7" t="str">
        <x:v>Robert Gillmor | C. Menzie | John H. Ryther</x:v>
      </x:c>
      <x:c r="E73" s="11" t="str">
        <x:v>1981</x:v>
      </x:c>
      <x:c r="F73" s="7" t="str">
        <x:v>OCEANS 1981 conference proceedings</x:v>
      </x:c>
      <x:c r="G73" s="7" t="str">
        <x:v>conference-paper</x:v>
      </x:c>
      <x:c r="H73" s="7" t="str">
        <x:v>10.1109/oceans.1981.1151503</x:v>
      </x:c>
      <x:c r="I73" s="7" t="str">
        <x:v>https://doi.org/10.1109/oceans.1981.1151503</x:v>
      </x:c>
      <x:c r="J73" s="7" t="str">
        <x:v>The benthic megafauna and physical environment around an exploratory well site in the Mid-Atlantic were observed with side-scan sonar and bottom TV prior to, two weeks after, and one year after drilling. Physical alterations (anchor scours, cuttings and debris accumulation) were seen two weeks and one year after drilling. Two weeks after, increases in demersal fish (primarily hake) and decapods (primarily Cancer crabs) were observed. Increases were most evident near the well site and appeared associated with the increased microrelief. Mussel accumulations around the site may also have attracted these species. One year after drilling, hake density was still elevated near the site, but mussels and Cancer densities were not. Decapod densities (particularly galatheid crabs) were lower within 500 meters of the site than beyond, perhaps because of hake predation. Sessile megabenthos (e.g., sea pens) may have been buried by cuttings in the immediate vicinity, but burial effects were not as evident one year later.</x:v>
      </x:c>
      <x:c r="K73" s="11" t="str">
        <x:v>NO</x:v>
      </x:c>
      <x:c r="L73" s="7" t="str">
        <x:v>NOT_CONFIRMED</x:v>
      </x:c>
      <x:c r="M73" s="7" t="str"/>
      <x:c r="N73" s="7" t="str">
        <x:v>VERIFIED_BIBLIOGRAPHIC_DOCUMENT</x:v>
      </x:c>
      <x:c r="O73" s="7" t="str"/>
      <x:c r="P73" s="11" t="str"/>
      <x:c r="Q73" s="7" t="str"/>
      <x:c r="R73" s="7" t="str"/>
      <x:c r="S73" s="7" t="str"/>
      <x:c r="T73" s="7" t="str"/>
      <x:c r="U73" s="7" t="str"/>
      <x:c r="V73" s="7" t="str">
        <x:v>PRODUCTION_CORE_INCLUDE</x:v>
      </x:c>
      <x:c r="W73" s="7" t="str">
        <x:v>PROD-04650</x:v>
      </x:c>
    </x:row>
    <x:row r="74" ht="42" customHeight="1">
      <x:c r="A74" s="17" t="str">
        <x:v>A</x:v>
      </x:c>
      <x:c r="B74" s="7" t="str">
        <x:v>CWC-012A353EA28C</x:v>
      </x:c>
      <x:c r="C74" s="7" t="str">
        <x:v>Sediment impacts on sponges and a deep-sea coral in New Zealand</x:v>
      </x:c>
      <x:c r="D74" s="7" t="str">
        <x:v>Valeria Mobilia</x:v>
      </x:c>
      <x:c r="E74" s="11" t="str">
        <x:v>2021</x:v>
      </x:c>
      <x:c r="F74" s="7" t="str">
        <x:v>Victoria University of Wellington</x:v>
      </x:c>
      <x:c r="G74" s="7" t="str">
        <x:v>dissertation</x:v>
      </x:c>
      <x:c r="H74" s="7" t="str">
        <x:v>10.26686/wgtn.17096843</x:v>
      </x:c>
      <x:c r="I74" s="7" t="str">
        <x:v>https://doi.org/10.26686/wgtn.17096843</x:v>
      </x:c>
      <x:c r="J74" s="7" t="str">
        <x:v>Increased levels of suspended sediment in the water column are important factors contributing to the degradation of marine ecosystems worldwide. In coastal waters, temporal variation in suspended sediment concentrations (SSCs) occurs naturally due to seasonal and oceanographic processes. However, there is evidence that anthropogenic activities are increasing sediment concentrations. The volume of sediment moving from land-based sources into coastal ecosystems and human activities in the ocean disturbing the seafloor, such as dredging and bottom-contact fisheries, have been increasing over the last century. In addition, offshore activities, particularly bottom-contact fishing and potential deep-sea mining, can create sediment plumes in the deep-sea that may extend over long distances. Elevated suspended sediment concentrations have detrimental effects on benthic communities, particularly for suspension feeders like sponges and corals. The aim of this thesis was to investigate the effects of increased SSCs that might arise from heavy anthropogenic disturbance on common shallow water and deep-sea sponges and a deep-sea coral in New Zealand, as these groups contribute to habitat structure in some benthic environments, including the deep sea.</x:v>
      </x:c>
      <x:c r="K74" s="11" t="str">
        <x:v>YES</x:v>
      </x:c>
      <x:c r="L74" s="7" t="str">
        <x:v>FROZEN_PUBLIC_FULL_TEXT_LOCATION</x:v>
      </x:c>
      <x:c r="M74" s="7" t="str">
        <x:v>https://openaccess.wgtn.ac.nz/articles/thesis/Sediment_impacts_on_sponges_and_a_deep-sea_coral_in_New_Zealand/17096843/1/files/31615100.pdf</x:v>
      </x:c>
      <x:c r="N74" s="7" t="str">
        <x:v>VERIFIED_BIBLIOGRAPHIC_DOCUMENT</x:v>
      </x:c>
      <x:c r="O74" s="7" t="str"/>
      <x:c r="P74" s="11" t="str"/>
      <x:c r="Q74" s="7" t="str"/>
      <x:c r="R74" s="7" t="str"/>
      <x:c r="S74" s="7" t="str"/>
      <x:c r="T74" s="7" t="str"/>
      <x:c r="U74" s="7" t="str"/>
      <x:c r="V74" s="7" t="str">
        <x:v>PRODUCTION_CORE_INCLUDE</x:v>
      </x:c>
      <x:c r="W74" s="7" t="str">
        <x:v>PROD-05279</x:v>
      </x:c>
    </x:row>
    <x:row r="75" ht="42" customHeight="1">
      <x:c r="A75" s="17" t="str">
        <x:v>A</x:v>
      </x:c>
      <x:c r="B75" s="7" t="str">
        <x:v>CWC-C5FAED17E7BF</x:v>
      </x:c>
      <x:c r="C75" s="7" t="str">
        <x:v>Susceptibility of the Soft Coral Gersemia rubiformis to Capture by Hydraulic Clam Dredges off Eastern Canada: The Significance of Soft Coral-Shell Associations</x:v>
      </x:c>
      <x:c r="D75" s="7" t="str">
        <x:v>Kent D. Gilkinson | Donald C. Gordon Jr. | D. L. McKeown | Dale Roddick | Ellen L. R. Kenchington | K. G. MacIsaac | C. Bourbonnais | W. P. Vass</x:v>
      </x:c>
      <x:c r="E75" s="11" t="str">
        <x:v>2005</x:v>
      </x:c>
      <x:c r="F75" s="7" t="str">
        <x:v>Benthic Habitats and the Effects of Fishing; American Fisheries Society Symposium 41</x:v>
      </x:c>
      <x:c r="G75" s="7" t="str">
        <x:v>book-chapter</x:v>
      </x:c>
      <x:c r="H75" s="7" t="str">
        <x:v>10.47886/9781888569605.ch65</x:v>
      </x:c>
      <x:c r="I75" s="7" t="str">
        <x:v>https://doi.org/10.47886/9781888569605.ch65</x:v>
      </x:c>
      <x:c r="J75" s="7" t="str">
        <x:v>Abstract. Soft corals (order Alcyonacea) are common on low-relief seabeds on the eastern Canadian shelf where they attach to empty shells and gravel. The effect of hydraulic clam dredging on the abundance of soft corals (specifically Gersemia rubiformis ) was investigated on a sandy seabed at depths of 70–80 m on Banquereau, off eastern Canada. Visible soft corals were counted from video taken in two dredged and reference boxes before dredging; immediately after dredging; and 2 weeks, 1 year, and 2 years after dredging. Experimental dredging followed standard commercial practices. Dredge tracks covered approximately 53% and 68% of the surface area inside the two dredging boxes, and, although postdredging video surveys were conducted in heavily disturbed areas, no detectable effects of dredging on soft coral abundances were seen. However, the power of the analysis of variance was relatively low (0.6). Low dredge capture rates of soft corals also could partially explain the absence of an observed dredging effect on soft coral abundances. Dredge bycatch from the two dredging boxes showed that soft coral capture rates were variable and generally low (2% and 19%). In this sandy habitat, soft corals attach to empty shells at frequencies of 84% and higher. Most of the shell-attached soft corals were probably displaced from the dredge path through dredge-generated water turbulence. There are two spatial patterns of soft coral–shell associations on Banquereau. There is a low background density of soft corals (averaging 1–5 per 15 m2) with scattered patches (15–50 m in diameter) of dense accumulations of empty shells with attached epifauna including soft corals at higher abundances. It is expected that dredging through these dense patches, which are expected to be relatively hydrodynamically stable, would result in greater bycatch and damage to soft corals and disruption of these structurally complex seabed features.</x:v>
      </x:c>
      <x:c r="K75" s="11" t="str">
        <x:v>NO</x:v>
      </x:c>
      <x:c r="L75" s="7" t="str">
        <x:v>NOT_CONFIRMED</x:v>
      </x:c>
      <x:c r="M75" s="7" t="str"/>
      <x:c r="N75" s="7" t="str">
        <x:v>VERIFIED_BIBLIOGRAPHIC_DOCUMENT</x:v>
      </x:c>
      <x:c r="O75" s="7" t="str"/>
      <x:c r="P75" s="11" t="str"/>
      <x:c r="Q75" s="7" t="str"/>
      <x:c r="R75" s="7" t="str"/>
      <x:c r="S75" s="7" t="str"/>
      <x:c r="T75" s="7" t="str"/>
      <x:c r="U75" s="7" t="str"/>
      <x:c r="V75" s="7" t="str">
        <x:v>PRODUCTION_CORE_INCLUDE</x:v>
      </x:c>
      <x:c r="W75" s="7" t="str">
        <x:v>PROD-05429</x:v>
      </x:c>
    </x:row>
    <x:row r="76" ht="42" customHeight="1">
      <x:c r="A76" s="17" t="str">
        <x:v>A</x:v>
      </x:c>
      <x:c r="B76" s="7" t="str">
        <x:v>CWC-F465BA58B9FB</x:v>
      </x:c>
      <x:c r="C76" s="7" t="str">
        <x:v>Assessing Exploratory Drilling Impacts on an Arctic Deepwater Sea-Pen Habitat in Offshore Norway</x:v>
      </x:c>
      <x:c r="D76" s="7" t="str">
        <x:v>J. E. Paulsen | Sabine Cochrane | Øyvind Leikvin | Jesper Hansen | Hans E. Torbergsen | Stefano Pierfelici</x:v>
      </x:c>
      <x:c r="E76" s="11" t="str">
        <x:v>2014</x:v>
      </x:c>
      <x:c r="F76" s="7" t="str">
        <x:v>Society of Petroleum Engineers conference proceedings</x:v>
      </x:c>
      <x:c r="G76" s="7" t="str">
        <x:v>conference-paper</x:v>
      </x:c>
      <x:c r="H76" s="7" t="str">
        <x:v>10.2118/168343-ms</x:v>
      </x:c>
      <x:c r="I76" s="7" t="str">
        <x:v>https://doi.org/10.2118/168343-ms</x:v>
      </x:c>
      <x:c r="J76" s="7" t="str">
        <x:v>Abstract Drilling in Norwegian Arctic waters provokes concern regarding potential impacts on commercial fisheries and the marine environment. Of particular concern are deep-water sponge and sea-pen habitats. Drilling permits require environmental surveys to be carried out before and after drilling, to document drill cutting impacts. Lack of data on bottom currents in deep, northern waters may introduce errors in deposition models. This study aimed to provide data for environmental waste management in the Norwegian Arctic, at a drilling location at approximately 1400 m depth, inhabited by the deep-water seapen tentatively identified as Umbellula enchrinus, which occurs along the continental slope across the entire European Arctic. More than 70 Umbellula colonies were mapped using underwater video within approximately 1 km2 around the drilling location. Four surveys were carried out between 2010 and 2013, covering pre- and post-drilling conditions. Sediment core samples were taken before and after drilling to quantify the thickness and spatial extent of deposited drill cuttings. An Acoustic Doppler Current Profiler (ADCP) was deployed to measure water currents in the lower 450 m of the water column, at high resolution, during the entire drilling period. The upper water masses comprised northward-flowing Atlantic water, with cold Norwegian Sea Deep Water in the lowest 200 m overlying the seabed. Visible deposition of drill cuttings was restricted to within 100 m from the drilling location in most directions, and extending to around 150 m to the south-west, in accordance with bottom water movements. Exposure to cuttings deposition was not lethal, but organisms immediately near the well were mechanically destroyed. This likely is the most detailed investigation of live Umbellula organisms world-wide, and contributes to biological research on drilling impacts. Innovative water column measurements and drill cuttings impact assessments provide data for planning environmentally-sound drilling waste management strategies for offshore operations in Arctic Norway.</x:v>
      </x:c>
      <x:c r="K76" s="11" t="str">
        <x:v>NO</x:v>
      </x:c>
      <x:c r="L76" s="7" t="str">
        <x:v>NOT_CONFIRMED</x:v>
      </x:c>
      <x:c r="M76" s="7" t="str"/>
      <x:c r="N76" s="7" t="str">
        <x:v>VERIFIED_BIBLIOGRAPHIC_DOCUMENT</x:v>
      </x:c>
      <x:c r="O76" s="7" t="str"/>
      <x:c r="P76" s="11" t="str"/>
      <x:c r="Q76" s="7" t="str"/>
      <x:c r="R76" s="7" t="str"/>
      <x:c r="S76" s="7" t="str"/>
      <x:c r="T76" s="7" t="str"/>
      <x:c r="U76" s="7" t="str"/>
      <x:c r="V76" s="7" t="str">
        <x:v>PRODUCTION_CORE_INCLUDE</x:v>
      </x:c>
      <x:c r="W76" s="7" t="str">
        <x:v>PROD-05674</x:v>
      </x:c>
    </x:row>
    <x:row r="77" ht="42" customHeight="1">
      <x:c r="A77" s="17" t="str">
        <x:v>A</x:v>
      </x:c>
      <x:c r="B77" s="7" t="str">
        <x:v>CWC-8DE4EC6DEA6A</x:v>
      </x:c>
      <x:c r="C77" s="7" t="str">
        <x:v>Ecological consequences of exploration drilling on coral reefs in the Træna Deep</x:v>
      </x:c>
      <x:c r="D77" s="7" t="str">
        <x:v>Pål Buhl‐Mortensen | Aivo Lepland</x:v>
      </x:c>
      <x:c r="E77" s="11" t="str">
        <x:v>2007</x:v>
      </x:c>
      <x:c r="F77" s="7" t="str">
        <x:v>Duo Research Archive (University of Oslo)</x:v>
      </x:c>
      <x:c r="G77" s="7" t="str">
        <x:v>report</x:v>
      </x:c>
      <x:c r="H77" s="7" t="str"/>
      <x:c r="I77" s="7" t="str">
        <x:v>http://hdl.handle.net/11250/112721</x:v>
      </x:c>
      <x:c r="J77" s="7" t="str">
        <x:v>Coral reefs, skeleton samples and bottom sediments in the vicinity of the hydrocarbon exploration test well in the Træna Deep have been studied to assess the ecological effects and "health status" of Lophelia coral reefs. The fieldwork was carried out in June 2005, providing skeleton and sediment samples from 33 locations, video-recordings from eight dives with Remotely Operated Vehicle (ROV), and data on water movement from three current meters located at different sites. Current velocity and direction were recorded over a period of six days. The velocity varied between 0 and 27 cm/s, with the weakest currents in the area close to the exploration drilling site, and the strongest currents at the reference site about 12 km southeast of the drilling site. The current pattern showed tidal influence with a strong westward component. This current pattern was also reflected in the eastward growth of the coral reefs and by the orientation of fan-shaped gorgonian corals facing in the same direction. The analysis of video-records did not reveal clear difference in "health" status between reefs up-current or down-current to the drill site. The reefs consisted typically of a living "frontal" zone facing the currents, and a dead "tail" extending down-current for up to ca. 150 m. analysis of skeleton thin sections revealed that it is possible to establish the chronology and thrack the years in skeletons when the explorations drilling occured. The relatively coarse-gained sediments in the area made it possible to obtain seminent cores of limited length (5 - 30 cm), but several cores contain elevated Ba/barite concrentration at the sediment surface or just below. The geographic distribution of Ba content in sediments allowed the reconstruction of drilling mud disperal pattern westward from the drilling site, cinsistent with the prevailing current directions. Barite crystals, derived from the drilling mud, were identified among trapped sediments in the skeleton cavities of dead coral polyps older than six years. Highest barite concentrations was found in a polyp older than 13 years. The presence of relatively coarse-gained sediments abd drilling mud components in the coral polyps ca. 600 m down current from the drilling site signals the elevated turbulance and sediment supply during the drilling acitivty. This elevated sediment dispersion was likely having an influence upon the coral reefs, but due to the relatively shor duration of the drilling campaign and strong currents that effectively dilute episodic sediment discharges the damage was apparently not significant. Thus the results provide only minor indications of negative effects of drilling mud discharge on the cold-water coral Lophelia pertusa, but demonstrate that the method developed here can be used to trace exposure to elevated particle load originating from drilling activity.</x:v>
      </x:c>
      <x:c r="K77" s="11" t="str">
        <x:v>NO</x:v>
      </x:c>
      <x:c r="L77" s="7" t="str">
        <x:v>NOT_CONFIRMED</x:v>
      </x:c>
      <x:c r="M77" s="7" t="str"/>
      <x:c r="N77" s="7" t="str">
        <x:v>VERIFIED_BIBLIOGRAPHIC_DOCUMENT</x:v>
      </x:c>
      <x:c r="O77" s="7" t="str"/>
      <x:c r="P77" s="11" t="str"/>
      <x:c r="Q77" s="7" t="str"/>
      <x:c r="R77" s="7" t="str"/>
      <x:c r="S77" s="7" t="str"/>
      <x:c r="T77" s="7" t="str"/>
      <x:c r="U77" s="7" t="str"/>
      <x:c r="V77" s="7" t="str">
        <x:v>PRODUCTION_CORE_INCLUDE</x:v>
      </x:c>
      <x:c r="W77" s="7" t="str">
        <x:v>PROD-05675</x:v>
      </x:c>
    </x:row>
    <x:row r="78" ht="42" customHeight="1">
      <x:c r="A78" s="17" t="str">
        <x:v>A</x:v>
      </x:c>
      <x:c r="B78" s="7" t="str">
        <x:v>CWC-F0F8871A2A32</x:v>
      </x:c>
      <x:c r="C78" s="7" t="str">
        <x:v>Decommissioning of subsea oil and gas production pipelines: hydrodynamic modeling for preliminary assessment of sediment resuspension and burial onto benthic organisms</x:v>
      </x:c>
      <x:c r="D78" s="7" t="str">
        <x:v>P. Paiva; J. L. Junior; E. Calderon; M. Juliano; M. M. Molisani</x:v>
      </x:c>
      <x:c r="E78" s="11" t="str">
        <x:v>2020</x:v>
      </x:c>
      <x:c r="F78" s="7" t="str">
        <x:v>Journal of Integrated Coastal Zone Management</x:v>
      </x:c>
      <x:c r="G78" s="7" t="str">
        <x:v>article</x:v>
      </x:c>
      <x:c r="H78" s="7" t="str">
        <x:v>10.5894/rgci-n286</x:v>
      </x:c>
      <x:c r="I78" s="7" t="str">
        <x:v>https://doi.org/10.5894/rgci-n286</x:v>
      </x:c>
      <x:c r="J78" s="7" t="str">
        <x:v>Many offshore oil and gas fields in Brazil are reaching the end of their economic productive life, which has increasing the demand for decisions about decommissioning of the offshore exploration structures such as subsea pipelines. However, removing, retaining or relocating subsea infrastructure have potential impacts on the marine environment caused by seabed perturbation. Using the MOHID hydrodynamic software, this study simulated resuspension, similar to those caused by pipelines recovery operations, and estimated the deposited particle layer onto rhodoliths and deep-water coral in continental shelf and slope in different sediment grain-size typologies. According to the proposed scenarios, simulation of resuspension indicated that particle deposition exceeded the burial thresholds (5.0 mm to rhodoliths and 6.3 mm for deep-water corals), while only in the continental shelf with fine sand seabed, the subsea pipeline removing didn’t represent burial risk for considered benthic organisms.</x:v>
      </x:c>
      <x:c r="K78" s="11" t="str">
        <x:v>YES</x:v>
      </x:c>
      <x:c r="L78" s="7" t="str">
        <x:v>FROZEN_PUBLIC_FULL_TEXT_LOCATION</x:v>
      </x:c>
      <x:c r="M78" s="7" t="str">
        <x:v>https://www.sintef.no/globalassets/project/erms/reports/erms-report-no-9b_burial_rf-am.pdf</x:v>
      </x:c>
      <x:c r="N78" s="7" t="str">
        <x:v>VERIFIED_BIBLIOGRAPHIC_DOCUMENT</x:v>
      </x:c>
      <x:c r="O78" s="7" t="str"/>
      <x:c r="P78" s="11" t="str"/>
      <x:c r="Q78" s="7" t="str"/>
      <x:c r="R78" s="7" t="str"/>
      <x:c r="S78" s="7" t="str"/>
      <x:c r="T78" s="7" t="str"/>
      <x:c r="U78" s="7" t="str"/>
      <x:c r="V78" s="7" t="str">
        <x:v>PRODUCTION_CORE_INCLUDE</x:v>
      </x:c>
      <x:c r="W78" s="7" t="str">
        <x:v>PROD-06781</x:v>
      </x:c>
    </x:row>
    <x:row r="79" ht="42" customHeight="1">
      <x:c r="A79" s="17" t="str">
        <x:v>A</x:v>
      </x:c>
      <x:c r="B79" s="7" t="str">
        <x:v>CWC-8E3088960DAC</x:v>
      </x:c>
      <x:c r="C79" s="7" t="str">
        <x:v>Regional guidance on measures to protect corals and sponges during exploratory drilling</x:v>
      </x:c>
      <x:c r="D79" s="7" t="str">
        <x:v>Fisheries and Oceans Canada</x:v>
      </x:c>
      <x:c r="E79" s="11" t="str">
        <x:v>2023</x:v>
      </x:c>
      <x:c r="F79" s="7" t="str">
        <x:v>Fisheries and Oceans Canada</x:v>
      </x:c>
      <x:c r="G79" s="7" t="str">
        <x:v>government_report</x:v>
      </x:c>
      <x:c r="H79" s="7" t="str"/>
      <x:c r="I79" s="7" t="str">
        <x:v>https://www.dfo-mpo.gc.ca/publications/pnw-ppe/coral-sponge-caraux-eponges/nfl-guidance-directives-report-rapport-tnl-eng.html?wbdisable=false</x:v>
      </x:c>
      <x:c r="J79" s="7" t="str">
        <x:v>Coral condition: The degree of impact on corals and sponges from smothering is outlined in the DNV handbook as a low impact from sediment deposition of 1-3 mm, a moderate impact from 3-10 mm and a significant impact from &gt;10 mm, which is in line with the conservative 1.5 mm PNET used for sensitive species in drill cuttings dispersion models and survey programs (DFO, 2021; DNV, 2019). Although coral health is a new area of research, there are elements of coral condition that can be used as a [...] in the NAFO Regulatory Area (NRA) using kernel density estimation (KDE). Sponges represent the hig</x:v>
      </x:c>
      <x:c r="K79" s="11" t="str">
        <x:v>YES</x:v>
      </x:c>
      <x:c r="L79" s="7" t="str">
        <x:v>FROZEN_PUBLIC_FULL_TEXT_LOCATION</x:v>
      </x:c>
      <x:c r="M79" s="7" t="str">
        <x:v>https://www.dfo-mpo.gc.ca/publications/pnw-ppe/coral-sponge-caraux-eponges/nfl-guidance-directives-report-rapport-tnl-eng.html</x:v>
      </x:c>
      <x:c r="N79" s="7" t="str">
        <x:v>VERIFIED_BIBLIOGRAPHIC_DOCUMENT</x:v>
      </x:c>
      <x:c r="O79" s="7" t="str"/>
      <x:c r="P79" s="11" t="str"/>
      <x:c r="Q79" s="7" t="str"/>
      <x:c r="R79" s="7" t="str"/>
      <x:c r="S79" s="7" t="str"/>
      <x:c r="T79" s="7" t="str"/>
      <x:c r="U79" s="7" t="str"/>
      <x:c r="V79" s="7" t="str">
        <x:v>PRODUCTION_CORE_INCLUDE</x:v>
      </x:c>
      <x:c r="W79" s="7" t="str">
        <x:v>PROD-07524</x:v>
      </x:c>
    </x:row>
    <x:row r="80" ht="42" customHeight="1">
      <x:c r="A80" s="17" t="str">
        <x:v>A</x:v>
      </x:c>
      <x:c r="B80" s="7" t="str">
        <x:v>CWC-E8159C6B658B</x:v>
      </x:c>
      <x:c r="C80" s="7" t="str">
        <x:v>Effects of Sediment on Glass Sponges (Porifera, Hexactinellida) and Projected Effects on Glass Sponge Reefs</x:v>
      </x:c>
      <x:c r="D80" s="7" t="str">
        <x:v>Sally P. Leys</x:v>
      </x:c>
      <x:c r="E80" s="11" t="str">
        <x:v>2013</x:v>
      </x:c>
      <x:c r="F80" s="7" t="str">
        <x:v>DFO Canadian Science Advisory Secretariat Research Document 2013/074</x:v>
      </x:c>
      <x:c r="G80" s="7" t="str">
        <x:v>government_report</x:v>
      </x:c>
      <x:c r="H80" s="7" t="str"/>
      <x:c r="I80" s="7" t="str">
        <x:v>https://www.dfo-mpo.gc.ca/csas-sccs/Publications/ResDocs-DocRech/2013/2013_074-eng.html</x:v>
      </x:c>
      <x:c r="J80" s="7" t="str">
        <x:v>Apr 11, 2013 — Clogging by sediment reduces filtration in the glass reef sponge by 50-80% of normal levels. Glass reef sponges rely on induced current to ...Read more</x:v>
      </x:c>
      <x:c r="K80" s="11" t="str">
        <x:v>YES</x:v>
      </x:c>
      <x:c r="L80" s="7" t="str">
        <x:v>FROZEN_PUBLIC_FULL_TEXT_LOCATION</x:v>
      </x:c>
      <x:c r="M80" s="7" t="str">
        <x:v>https://www.dfo-mpo.gc.ca/csas-sccs/Publications/ResDocs-DocRech/2013/2013_074-eng.html</x:v>
      </x:c>
      <x:c r="N80" s="7" t="str">
        <x:v>VERIFIED_BIBLIOGRAPHIC_DOCUMENT</x:v>
      </x:c>
      <x:c r="O80" s="7" t="str"/>
      <x:c r="P80" s="11" t="str"/>
      <x:c r="Q80" s="7" t="str"/>
      <x:c r="R80" s="7" t="str"/>
      <x:c r="S80" s="7" t="str"/>
      <x:c r="T80" s="7" t="str"/>
      <x:c r="U80" s="7" t="str"/>
      <x:c r="V80" s="7" t="str">
        <x:v>PRODUCTION_CORE_INCLUDE</x:v>
      </x:c>
      <x:c r="W80" s="7" t="str">
        <x:v>PROD-07591</x:v>
      </x:c>
    </x:row>
    <x:row r="81" ht="42" customHeight="1">
      <x:c r="A81" s="17" t="str">
        <x:v>A</x:v>
      </x:c>
      <x:c r="B81" s="7" t="str">
        <x:v>CWC-72933D6D2377</x:v>
      </x:c>
      <x:c r="C81" s="7" t="str">
        <x:v>Effects of Dredging-Related Stressors on Sponges: Laboratory Experiments</x:v>
      </x:c>
      <x:c r="D81" s="7" t="str">
        <x:v>Maria-Cristina Pineda | Ben Strehlow | Alan Duckworth | Nicole S. Webster</x:v>
      </x:c>
      <x:c r="E81" s="11" t="str">
        <x:v>2017</x:v>
      </x:c>
      <x:c r="F81" s="7" t="str">
        <x:v>Western Australian Marine Science Institution</x:v>
      </x:c>
      <x:c r="G81" s="7" t="str">
        <x:v>consultancy_report</x:v>
      </x:c>
      <x:c r="H81" s="7" t="str"/>
      <x:c r="I81" s="7" t="str">
        <x:v>https://wamsi.org.au/app/uploads/2019/10/Dredging-Science-Final-Report-PROJ-6.4-Effects-of-dredging-related-stressors-on-sponges-Pineda-et-al-November-2017.pdf</x:v>
      </x:c>
      <x:c r="J81" s="7" t="str">
        <x:v>Due to their nutritional dependence on the products of photosynthesis, phototrophic sponges may be par-ticularly sensitive to turbidity (water cloudiness) and light reduction caused by increased suspended sediments in the water column14–17. One cause of high turbidity is dredging of the sea bed and the subsequent disposal of the sediment at offshore dredge material placement sites18. Recent analyses of the effects of plumes from dredging have shown the marked effects the suspended sediments can [...] responses of the deep-water sponge Geodia barretti exposed to suspended sediments. Aquat. Biol</x:v>
      </x:c>
      <x:c r="K81" s="11" t="str">
        <x:v>YES</x:v>
      </x:c>
      <x:c r="L81" s="7" t="str">
        <x:v>FROZEN_PUBLIC_FULL_TEXT_LOCATION</x:v>
      </x:c>
      <x:c r="M81" s="7" t="str">
        <x:v>https://wamsi.org.au/app/uploads/2019/10/Dredging-Science-Final-Report-PROJ-6.4-Effects-of-dredging-related-stressors-on-sponges-Pineda-et-al-November-2017.pdf</x:v>
      </x:c>
      <x:c r="N81" s="7" t="str">
        <x:v>VERIFIED_FULL_DOCUMENT_LOCATION</x:v>
      </x:c>
      <x:c r="O81" s="7" t="str"/>
      <x:c r="P81" s="11" t="str"/>
      <x:c r="Q81" s="7" t="str"/>
      <x:c r="R81" s="7" t="str"/>
      <x:c r="S81" s="7" t="str"/>
      <x:c r="T81" s="7" t="str"/>
      <x:c r="U81" s="7" t="str"/>
      <x:c r="V81" s="7" t="str">
        <x:v>PRODUCTION_CORE_INCLUDE</x:v>
      </x:c>
      <x:c r="W81" s="7" t="str">
        <x:v>PROD-07617</x:v>
      </x:c>
    </x:row>
    <x:row r="82" ht="42" customHeight="1">
      <x:c r="A82" s="17" t="str">
        <x:v>A</x:v>
      </x:c>
      <x:c r="B82" s="7" t="str">
        <x:v>CWC-BED56803B049</x:v>
      </x:c>
      <x:c r="C82" s="7" t="str">
        <x:v>Conservation and Restoration of Cold-Water Corals: CORDAP R&amp;D Technology Roadmap</x:v>
      </x:c>
      <x:c r="D82" s="7" t="str">
        <x:v>Qian Liu | Alex D. Rogers | Cassandra Roch | J. Gordon | Carlos M. Duarte | Laura F. Robinson | Rhian G. Waller | Christine Ferrier-Pagès | Sandra Brooke | Marina Carreiro-Silva | Kristopher Benson | M. L. De Carvalho Ferreira | C. Du Preez | S. Banks | James P. Barry | R. T. S. Cordeiro | Erik Cordes | Sebastian Hennige | T. F. Hourigan | M. V. Kitahara | Tina Kutti | Anna I. Larsson | D. M. Lauretta | A. K. Matsumoto | R. E. Ross | Eva Ramirez-Llodra | A. B. Yánez Suárez | Evan Edinger | A. Metaxas | Z. N. P. Filander | M. L. Taylor</x:v>
      </x:c>
      <x:c r="E82" s="11" t="str">
        <x:v>2024</x:v>
      </x:c>
      <x:c r="F82" s="7" t="str">
        <x:v>Coral Research &amp; Development Accelerator Platform</x:v>
      </x:c>
      <x:c r="G82" s="7" t="str">
        <x:v>consultancy_report</x:v>
      </x:c>
      <x:c r="H82" s="7" t="str"/>
      <x:c r="I82" s="7" t="str">
        <x:v>https://cordap.org/wp-content/uploads/CORDAP-Cold-Water-Corals_Aug2024.pdf</x:v>
      </x:c>
      <x:c r="J82" s="7" t="str">
        <x:v>the scleractinian Desmophyllum pertusum had significant polyp mortality following burial by 6.5 mm of drill cuttings, the maximum permissible under environmental risk assessments in Norway (Larsson and Purser, 2011). High particle concentrations over longer periods resulted in reduced skeletal growth and reduced larval survival, indicating early life stages may be particularly vulnerable to drill cutting exposure (Larsson et al., 2013a). The Deep-Water Horizon blowout in 2010 led to impacts on [...] 1982). A sufficient understanding of the food sources of Octocorallia is lacking, as well as fo</x:v>
      </x:c>
      <x:c r="K82" s="11" t="str">
        <x:v>YES</x:v>
      </x:c>
      <x:c r="L82" s="7" t="str">
        <x:v>FROZEN_PUBLIC_FULL_TEXT_LOCATION</x:v>
      </x:c>
      <x:c r="M82" s="7" t="str">
        <x:v>https://cordap.org/wp-content/uploads/CORDAP-Cold-Water-Corals_Aug2024.pdf</x:v>
      </x:c>
      <x:c r="N82" s="7" t="str">
        <x:v>VERIFIED_FULL_DOCUMENT_LOCATION</x:v>
      </x:c>
      <x:c r="O82" s="7" t="str"/>
      <x:c r="P82" s="11" t="str"/>
      <x:c r="Q82" s="7" t="str"/>
      <x:c r="R82" s="7" t="str"/>
      <x:c r="S82" s="7" t="str"/>
      <x:c r="T82" s="7" t="str"/>
      <x:c r="U82" s="7" t="str"/>
      <x:c r="V82" s="7" t="str">
        <x:v>PRODUCTION_CORE_INCLUDE</x:v>
      </x:c>
      <x:c r="W82" s="7" t="str">
        <x:v>PROD-07637</x:v>
      </x:c>
    </x:row>
    <x:row r="83" ht="42" customHeight="1">
      <x:c r="A83" s="17" t="str">
        <x:v>A</x:v>
      </x:c>
      <x:c r="B83" s="7" t="str">
        <x:v>CWC-337F7197A678</x:v>
      </x:c>
      <x:c r="C83" s="7" t="str">
        <x:v>Identifying Priorities for the Protection of Deep-Sea Species and Habitats in the Nordic Seas</x:v>
      </x:c>
      <x:c r="D83" s="7" t="str">
        <x:v>Erwann Legrand | Marion Boulard | Joe O'Connor | Tina Kutti</x:v>
      </x:c>
      <x:c r="E83" s="11" t="str">
        <x:v>2024</x:v>
      </x:c>
      <x:c r="F83" s="7" t="str">
        <x:v>Rapport fra havforskningen 2024-5; Institute of Marine Research</x:v>
      </x:c>
      <x:c r="G83" s="7" t="str">
        <x:v>report</x:v>
      </x:c>
      <x:c r="H83" s="7" t="str"/>
      <x:c r="I83" s="7" t="str">
        <x:v>https://www.hi.no/hi/nettrapporter/rapport-fra-havforskningen-en-2024-5</x:v>
      </x:c>
      <x:c r="J83" s="7" t="str">
        <x:v>particles tend to settle within a few hundred meters from the wellhead, usually resulting in spatially restricted impacts on benthic communities33. Low concentrations of the drill mud may disperse several kilometers away from the wellhead31. Recent studies demonstrated that impacts of suspended sediment plumes on long-lived structure-forming corals may be severe39. Furthermore, studies have shown much longer recovery times of deep-water benthic communities after being impacted from settling [...] from settling drilling mud as compared to more shallow water benthic communities34. The 2010 Deepw</x:v>
      </x:c>
      <x:c r="K83" s="11" t="str">
        <x:v>YES</x:v>
      </x:c>
      <x:c r="L83" s="7" t="str">
        <x:v>FROZEN_PUBLIC_FULL_TEXT_LOCATION</x:v>
      </x:c>
      <x:c r="M83" s="7" t="str">
        <x:v>https://www.hi.no/hi/nettrapporter/rapport-fra-havforskningen-en-2024-5</x:v>
      </x:c>
      <x:c r="N83" s="7" t="str">
        <x:v>VERIFIED_BIBLIOGRAPHIC_DOCUMENT</x:v>
      </x:c>
      <x:c r="O83" s="7" t="str"/>
      <x:c r="P83" s="11" t="str"/>
      <x:c r="Q83" s="7" t="str"/>
      <x:c r="R83" s="7" t="str"/>
      <x:c r="S83" s="7" t="str"/>
      <x:c r="T83" s="7" t="str"/>
      <x:c r="U83" s="7" t="str"/>
      <x:c r="V83" s="7" t="str">
        <x:v>PRODUCTION_CORE_INCLUDE</x:v>
      </x:c>
      <x:c r="W83" s="7" t="str">
        <x:v>PROD-07717</x:v>
      </x:c>
    </x:row>
    <x:row r="84" ht="42" customHeight="1">
      <x:c r="A84" s="17" t="str">
        <x:v>A</x:v>
      </x:c>
      <x:c r="B84" s="7" t="str">
        <x:v>CWC-1FF605EE02AB</x:v>
      </x:c>
      <x:c r="C84" s="7" t="str">
        <x:v>IMR-PINRO Report No. 2-2016: Report on the Barents Sea Ecosystem, Part II—Complete Report</x:v>
      </x:c>
      <x:c r="D84" s="7" t="str">
        <x:v>Institute of Marine Research | PINRO</x:v>
      </x:c>
      <x:c r="E84" s="11" t="str">
        <x:v>2016</x:v>
      </x:c>
      <x:c r="F84" s="7" t="str">
        <x:v>IMR-PINRO Joint Report Series 2-2016</x:v>
      </x:c>
      <x:c r="G84" s="7" t="str">
        <x:v>monitoring_report</x:v>
      </x:c>
      <x:c r="H84" s="7" t="str"/>
      <x:c r="I84" s="7" t="str">
        <x:v>https://www.hi.no/resources/publikasjoner/imrpinro/2016/imr-pinro_barents_sea_ecosystem_full_report_2016.pdf</x:v>
      </x:c>
      <x:c r="J84" s="7" t="str">
        <x:v>and other human activities such as oil and gas exploration. Because corals and sponges grow very slowly, recovery of these habitats may require from decades to centuries to recover, and in some cases may not recover at all (Fosså et al., 2002; Fosså and Kutti, 2010). As such, they are examples of Vulnerable Marine Ecosystems (VMEs). Impact or damage may lower the local biodiversity and diminish the possibility for many species to find shelter and feeding grounds (Buhl-Mortensen, 2006). The most [...] continental shelf. 69 Discharge of cuttings will lead to a certain degree of smothering of the</x:v>
      </x:c>
      <x:c r="K84" s="11" t="str">
        <x:v>YES</x:v>
      </x:c>
      <x:c r="L84" s="7" t="str">
        <x:v>FROZEN_PUBLIC_FULL_TEXT_LOCATION</x:v>
      </x:c>
      <x:c r="M84" s="7" t="str">
        <x:v>https://www.hi.no/resources/publikasjoner/imrpinro/2016/imr-pinro_barents_sea_ecosystem_full_report_2016.pdf</x:v>
      </x:c>
      <x:c r="N84" s="7" t="str">
        <x:v>VERIFIED_FULL_DOCUMENT_LOCATION</x:v>
      </x:c>
      <x:c r="O84" s="7" t="str"/>
      <x:c r="P84" s="11" t="str"/>
      <x:c r="Q84" s="7" t="str"/>
      <x:c r="R84" s="7" t="str"/>
      <x:c r="S84" s="7" t="str"/>
      <x:c r="T84" s="7" t="str"/>
      <x:c r="U84" s="7" t="str"/>
      <x:c r="V84" s="7" t="str">
        <x:v>PRODUCTION_CORE_INCLUDE</x:v>
      </x:c>
      <x:c r="W84" s="7" t="str">
        <x:v>PROD-07727</x:v>
      </x:c>
    </x:row>
    <x:row r="85" ht="42" customHeight="1">
      <x:c r="A85" s="17" t="str">
        <x:v>A</x:v>
      </x:c>
      <x:c r="B85" s="7" t="str">
        <x:v>CWC-FF5955A82855</x:v>
      </x:c>
      <x:c r="C85" s="7" t="str">
        <x:v>EL 1167 (Gale N-66) Conditions Closure Report</x:v>
      </x:c>
      <x:c r="D85" s="7" t="str">
        <x:v>ExxonMobil Canada Ltd.</x:v>
      </x:c>
      <x:c r="E85" s="11" t="str">
        <x:v>2023</x:v>
      </x:c>
      <x:c r="F85" s="7" t="str">
        <x:v>ExxonMobil Canada Ltd.</x:v>
      </x:c>
      <x:c r="G85" s="7" t="str">
        <x:v>monitoring_report</x:v>
      </x:c>
      <x:c r="H85" s="7" t="str"/>
      <x:c r="I85" s="7" t="str">
        <x:v>https://exploration.exxonmobilcanada.ca/s/EL-1167-Gale-N-66-Closure-Report-2023.pdf</x:v>
      </x:c>
      <x:c r="J85" s="7" t="str">
        <x:v>from the 2023 post-drilling survey report concluded that effects from drilling activities within the 500 m x 500 m survey grid were within the EIS predictions. Coral and sponge abundances and densities were similar to pre-drilling levels. While coral and sponge condition differed from pre-drilling levels, this was largely due to the presence of basket stars on individuals (corals) and sedimentation present (sponge), both surveys categorizing these individuals as Poor rather than Good. it is [...] sections of this report, the pre-drilling survey results were compared to in situ post-drilling su</x:v>
      </x:c>
      <x:c r="K85" s="11" t="str">
        <x:v>YES</x:v>
      </x:c>
      <x:c r="L85" s="7" t="str">
        <x:v>FROZEN_PUBLIC_FULL_TEXT_LOCATION</x:v>
      </x:c>
      <x:c r="M85" s="7" t="str">
        <x:v>https://exploration.exxonmobilcanada.ca/s/EL-1167-Gale-N-66-Closure-Report-2023.pdf</x:v>
      </x:c>
      <x:c r="N85" s="7" t="str">
        <x:v>VERIFIED_FULL_DOCUMENT_LOCATION</x:v>
      </x:c>
      <x:c r="O85" s="7" t="str"/>
      <x:c r="P85" s="11" t="str"/>
      <x:c r="Q85" s="7" t="str"/>
      <x:c r="R85" s="7" t="str"/>
      <x:c r="S85" s="7" t="str"/>
      <x:c r="T85" s="7" t="str"/>
      <x:c r="U85" s="7" t="str"/>
      <x:c r="V85" s="7" t="str">
        <x:v>PRODUCTION_CORE_INCLUDE</x:v>
      </x:c>
      <x:c r="W85" s="7" t="str">
        <x:v>PROD-07833</x:v>
      </x:c>
    </x:row>
    <x:row r="86" ht="42" customHeight="1">
      <x:c r="A86" s="17" t="str">
        <x:v>A</x:v>
      </x:c>
      <x:c r="B86" s="7" t="str">
        <x:v>CWC-162E32070130</x:v>
      </x:c>
      <x:c r="C86" s="7" t="str">
        <x:v>Deep-Sea Sponge Aggregations: Fisheries Management Guidance</x:v>
      </x:c>
      <x:c r="D86" s="7" t="str">
        <x:v>Joint Nature Conservation Committee | Scottish Natural Heritage</x:v>
      </x:c>
      <x:c r="E86" s="11" t="str">
        <x:v>2013</x:v>
      </x:c>
      <x:c r="F86" s="7" t="str">
        <x:v>JNCC and SNH Fisheries Management Guidance</x:v>
      </x:c>
      <x:c r="G86" s="7" t="str">
        <x:v>regulator_assessment</x:v>
      </x:c>
      <x:c r="H86" s="7" t="str"/>
      <x:c r="I86" s="7" t="str">
        <x:v>https://data.jncc.gov.uk/data/2d7638f7-cdd5-4153-8abb-9d33c5e02bf8/SMPA-fish-man-guidance-deep-sea-sponge-aggs-July2013.pdf</x:v>
      </x:c>
      <x:c r="J86" s="7" t="str">
        <x:v>(Hexactinellida) and the giant sponges (Desmospongia)1,2. They are thought to support diverse biological communities3, with the sponges increasing habitat complexity and influencing the occurrence of other species3. Impacts Demersal towed gears (including otter trawl, beam trawl) Trawling damages, displaces and removes sponges through direct physical impact, as well as from disturbed sediment resettling and causing smothering beyond the path of the trawl itself2,3,4. Deep-sea sponges have some [...] gathering and discussion with stakeholders will be required to determine the appropriate manage</x:v>
      </x:c>
      <x:c r="K86" s="11" t="str">
        <x:v>YES</x:v>
      </x:c>
      <x:c r="L86" s="7" t="str">
        <x:v>FROZEN_PUBLIC_FULL_TEXT_LOCATION</x:v>
      </x:c>
      <x:c r="M86" s="7" t="str">
        <x:v>https://data.jncc.gov.uk/data/2d7638f7-cdd5-4153-8abb-9d33c5e02bf8/SMPA-fish-man-guidance-deep-sea-sponge-aggs-July2013.pdf</x:v>
      </x:c>
      <x:c r="N86" s="7" t="str">
        <x:v>VERIFIED_FULL_DOCUMENT_LOCATION</x:v>
      </x:c>
      <x:c r="O86" s="7" t="str"/>
      <x:c r="P86" s="11" t="str"/>
      <x:c r="Q86" s="7" t="str"/>
      <x:c r="R86" s="7" t="str"/>
      <x:c r="S86" s="7" t="str"/>
      <x:c r="T86" s="7" t="str"/>
      <x:c r="U86" s="7" t="str"/>
      <x:c r="V86" s="7" t="str">
        <x:v>PRODUCTION_CORE_INCLUDE</x:v>
      </x:c>
      <x:c r="W86" s="7" t="str">
        <x:v>PROD-07904</x:v>
      </x:c>
    </x:row>
    <x:row r="87" ht="42" customHeight="1">
      <x:c r="A87" s="17" t="str">
        <x:v>A</x:v>
      </x:c>
      <x:c r="B87" s="7" t="str">
        <x:v>CWC-1773E7123B8A</x:v>
      </x:c>
      <x:c r="C87" s="7" t="str">
        <x:v>A Blueprint for Integrating Scientific Approaches and International Communities to Assess Basin-Wide Ocean Ecosystem Status</x:v>
      </x:c>
      <x:c r="D87" s="7" t="str">
        <x:v>J. Murray Roberts | Colin W. Devey | Arne Biastoch | Marina Carreiro-Silva | Tina Dohna | Boris Dorschel | Vikki Gunn | Veerle A. I. Huvenne | David Johnson | Didier Jollivet | Ellen Kenchington | Kate Larkin | Marjolaine Matabos | Telmo Morato | Malik S. Naumann | Covadonga Orejas | J. Angel A. Perez | Stefán Á. Ragnarsson | Albertus J. Smit | Andrew Sweetman | Sebastian Unger | Benjamin Boteler | Lea-Anne Henry</x:v>
      </x:c>
      <x:c r="E87" s="11" t="str">
        <x:v>2023</x:v>
      </x:c>
      <x:c r="F87" s="7" t="str">
        <x:v>Communications Earth &amp; Environment</x:v>
      </x:c>
      <x:c r="G87" s="7" t="str">
        <x:v>article</x:v>
      </x:c>
      <x:c r="H87" s="7" t="str">
        <x:v>10.1038/s43247-022-00645-w</x:v>
      </x:c>
      <x:c r="I87" s="7" t="str">
        <x:v>https://doi.org/10.1038/s43247-022-00645-w</x:v>
      </x:c>
      <x:c r="J87" s="7" t="str">
        <x:v>and cover up to 150 km2, reaching many areas that support VMEs and ﬁshing activities66. Studies to examine the impacts on cold-water corals, sponges, vent mussels and their pelagic larvae need to expand and build upon early results that show how exposure to mining waste has severe toxic effects leading to signiﬁcant mortality in deep-sea habitat-forming octocorals64. For such experi-ments, it is essential to share expertise in maintaining these organisms and their larvae in research aquaria. [...] 64. Carreiro-Silva, M. et al. Mechanical and toxicological effects of deep-sea mining sediment pl</x:v>
      </x:c>
      <x:c r="K87" s="11" t="str">
        <x:v>YES</x:v>
      </x:c>
      <x:c r="L87" s="7" t="str">
        <x:v>FROZEN_PUBLIC_FULL_TEXT_LOCATION</x:v>
      </x:c>
      <x:c r="M87" s="7" t="str">
        <x:v>https://nora.nerc.ac.uk/id/eprint/533969/1/s43247-022-00645-w.pdf</x:v>
      </x:c>
      <x:c r="N87" s="7" t="str">
        <x:v>VERIFIED_BIBLIOGRAPHIC_DOCUMENT</x:v>
      </x:c>
      <x:c r="O87" s="7" t="str"/>
      <x:c r="P87" s="11" t="str"/>
      <x:c r="Q87" s="7" t="str"/>
      <x:c r="R87" s="7" t="str"/>
      <x:c r="S87" s="7" t="str"/>
      <x:c r="T87" s="7" t="str"/>
      <x:c r="U87" s="7" t="str"/>
      <x:c r="V87" s="7" t="str">
        <x:v>PRODUCTION_CORE_INCLUDE</x:v>
      </x:c>
      <x:c r="W87" s="7" t="str">
        <x:v>PROD-07930</x:v>
      </x:c>
    </x:row>
    <x:row r="88" ht="42" customHeight="1">
      <x:c r="A88" s="17" t="str">
        <x:v>A</x:v>
      </x:c>
      <x:c r="B88" s="7" t="str">
        <x:v>CWC-104B2C5A7924</x:v>
      </x:c>
      <x:c r="C88" s="7" t="str">
        <x:v>Sediment impacts on marine sponges</x:v>
      </x:c>
      <x:c r="D88" s="7" t="str">
        <x:v>James J. Bell | Emily McGrath | Andrew Biggerstaff | Tracey Bates | Holly Bennett | Joseph Marlow | Megan Shaffer</x:v>
      </x:c>
      <x:c r="E88" s="11" t="str">
        <x:v>2015</x:v>
      </x:c>
      <x:c r="F88" s="7" t="str">
        <x:v>Marine Pollution Bulletin</x:v>
      </x:c>
      <x:c r="G88" s="7" t="str">
        <x:v>article</x:v>
      </x:c>
      <x:c r="H88" s="7" t="str">
        <x:v>10.1016/j.marpolbul.2015.03.030</x:v>
      </x:c>
      <x:c r="I88" s="7" t="str">
        <x:v>https://doi.org/10.1016/j.marpolbul.2015.03.030</x:v>
      </x:c>
      <x:c r="J88" s="7" t="str"/>
      <x:c r="K88" s="11" t="str">
        <x:v>NO</x:v>
      </x:c>
      <x:c r="L88" s="7" t="str">
        <x:v>NOT_CONFIRMED</x:v>
      </x:c>
      <x:c r="M88" s="7" t="str"/>
      <x:c r="N88" s="7" t="str">
        <x:v>VERIFIED_BIBLIOGRAPHIC_DOCUMENT</x:v>
      </x:c>
      <x:c r="O88" s="7" t="str"/>
      <x:c r="P88" s="11" t="str"/>
      <x:c r="Q88" s="7" t="str"/>
      <x:c r="R88" s="7" t="str"/>
      <x:c r="S88" s="7" t="str"/>
      <x:c r="T88" s="7" t="str"/>
      <x:c r="U88" s="7" t="str"/>
      <x:c r="V88" s="7" t="str">
        <x:v>SEEDED_POSITIVE_CORE_BENCHMARK</x:v>
      </x:c>
      <x:c r="W88" s="7" t="str">
        <x:v>BV-008</x:v>
      </x:c>
    </x:row>
    <x:row r="89" ht="42" customHeight="1">
      <x:c r="A89" s="17" t="str">
        <x:v>A</x:v>
      </x:c>
      <x:c r="B89" s="7" t="str">
        <x:v>CWC-F2591A201364</x:v>
      </x:c>
      <x:c r="C89" s="7" t="str">
        <x:v>Sub-lethal effects of water-based drilling muds on the deep-water sponge Geodia barretti</x:v>
      </x:c>
      <x:c r="D89" s="7" t="str">
        <x:v>Katelyn J. Edge | Emma L. Johnston | Katherine A. Dafforn | Stuart L. Simpson | Tina Kutti | Raymond J. Bannister</x:v>
      </x:c>
      <x:c r="E89" s="11" t="str">
        <x:v>2016</x:v>
      </x:c>
      <x:c r="F89" s="7" t="str">
        <x:v>Environmental Pollution</x:v>
      </x:c>
      <x:c r="G89" s="7" t="str">
        <x:v>article</x:v>
      </x:c>
      <x:c r="H89" s="7" t="str">
        <x:v>10.1016/j.envpol.2016.02.047</x:v>
      </x:c>
      <x:c r="I89" s="7" t="str">
        <x:v>https://doi.org/10.1016/j.envpol.2016.02.047</x:v>
      </x:c>
      <x:c r="J89" s="7" t="str"/>
      <x:c r="K89" s="11" t="str">
        <x:v>NO</x:v>
      </x:c>
      <x:c r="L89" s="7" t="str">
        <x:v>NOT_CONFIRMED</x:v>
      </x:c>
      <x:c r="M89" s="7" t="str"/>
      <x:c r="N89" s="7" t="str">
        <x:v>VERIFIED_BIBLIOGRAPHIC_DOCUMENT</x:v>
      </x:c>
      <x:c r="O89" s="7" t="str"/>
      <x:c r="P89" s="11" t="str"/>
      <x:c r="Q89" s="7" t="str"/>
      <x:c r="R89" s="7" t="str"/>
      <x:c r="S89" s="7" t="str"/>
      <x:c r="T89" s="7" t="str"/>
      <x:c r="U89" s="7" t="str"/>
      <x:c r="V89" s="7" t="str">
        <x:v>HUMAN_ACCEPTED_POSITIVE_ENRICHED_CORE</x:v>
      </x:c>
      <x:c r="W89" s="7" t="str">
        <x:v>PEV-025</x:v>
      </x:c>
    </x:row>
    <x:row r="90" ht="42" customHeight="1">
      <x:c r="A90" s="17" t="str">
        <x:v>A</x:v>
      </x:c>
      <x:c r="B90" s="7" t="str">
        <x:v>CWC-6504F386F1B3</x:v>
      </x:c>
      <x:c r="C90" s="7" t="str">
        <x:v>Impact of the Deepwater Horizon oil spill on a deep-water coral community in the Gulf of Mexico</x:v>
      </x:c>
      <x:c r="D90" s="7" t="str">
        <x:v>Helen K. White | Pen‐Yuan Hsing | Walter Cho | Timothy M. Shank | Erik E. Cordes | Andrea M. Quattrini | Robert K. Nelson | Richard Camilli | Amanda W.J. Demopoulos | Christopher R. German | James M. Brooks | Harry H. Roberts | William Shedd | Christopher M. Reddy | Charles R. Fisher</x:v>
      </x:c>
      <x:c r="E90" s="11" t="str">
        <x:v>2012</x:v>
      </x:c>
      <x:c r="F90" s="7" t="str">
        <x:v>Proceedings of the National Academy of Sciences</x:v>
      </x:c>
      <x:c r="G90" s="7" t="str">
        <x:v>article</x:v>
      </x:c>
      <x:c r="H90" s="7" t="str">
        <x:v>10.1073/pnas.1118029109</x:v>
      </x:c>
      <x:c r="I90" s="7" t="str">
        <x:v>https://doi.org/10.1073/pnas.1118029109</x:v>
      </x:c>
      <x:c r="J90" s="7" t="str">
        <x:v>To assess the potential impact of the Deepwater Horizon oil spill on offshore ecosystems, 11 sites hosting deep-water coral communities were examined 3 to 4 mo after the well was capped. Healthy coral communities were observed at all sites &gt;20 km from the Macondo well, including seven sites previously visited in September 2009, where the corals and communities appeared unchanged. However, at one site 11 km southwest of the Macondo well, coral colonies presented widespread signs of stress, including varying degrees of tissue loss, sclerite enlargement, excess mucous production, bleached commensal ophiuroids, and covering by brown flocculent material (floc). On the basis of these criteria the level of impact to individual colonies was ranked from 0 (least impact) to 4 (greatest impact). Of the 43 corals imaged at that site, 46% exhibited evidence of impact on more than half of the colony, whereas nearly a quarter of all of the corals showed impact to &gt;90% of the colony. Additionally, 53% of these corals' ophiuroid associates displayed abnormal color and/or attachment posture. Analysis of hopanoid petroleum biomarkers isolated from the floc provides strong evidence that this material contained oil from the Macondo well. The presence of recently damaged and deceased corals beneath the path of a previously documented plume emanating from the Macondo well provides compelling evidence that the oil impacted deep-water ecosystems. Our findings underscore the unprecedented nature of the spill in terms of its magnitude, release at depth, and impact to deep-water ecosystems.</x:v>
      </x:c>
      <x:c r="K90" s="11" t="str">
        <x:v>NO</x:v>
      </x:c>
      <x:c r="L90" s="7" t="str">
        <x:v>NOT_CONFIRMED</x:v>
      </x:c>
      <x:c r="M90" s="7" t="str"/>
      <x:c r="N90" s="7" t="str">
        <x:v>VERIFIED_BIBLIOGRAPHIC_DOCUMENT</x:v>
      </x:c>
      <x:c r="O90" s="7" t="str"/>
      <x:c r="P90" s="11" t="str"/>
      <x:c r="Q90" s="7" t="str"/>
      <x:c r="R90" s="7" t="str"/>
      <x:c r="S90" s="7" t="str"/>
      <x:c r="T90" s="7" t="str"/>
      <x:c r="U90" s="7" t="str"/>
      <x:c r="V90" s="7" t="str">
        <x:v>HUMAN_ACCEPTED_POSITIVE_ENRICHED_CORE</x:v>
      </x:c>
      <x:c r="W90" s="7" t="str">
        <x:v>PEV-026</x:v>
      </x:c>
    </x:row>
    <x:row r="91" ht="42" customHeight="1">
      <x:c r="A91" s="17" t="str">
        <x:v>A</x:v>
      </x:c>
      <x:c r="B91" s="7" t="str">
        <x:v>CWC-D962354BD236</x:v>
      </x:c>
      <x:c r="C91" s="7" t="str">
        <x:v>Impact of particulate sediment, bentonite and barite (oil-drilling waste) on net fluxes of oxygen and nitrogen in Arctic-boreal sponges</x:v>
      </x:c>
      <x:c r="D91" s="7" t="str">
        <x:v>James Kar‐Hei Fang | Christine Rooks | Cathinka M. Krogness | Tina Kutti | Friederike Hoffmann | Raymond J. Bannister</x:v>
      </x:c>
      <x:c r="E91" s="11" t="str">
        <x:v>2018</x:v>
      </x:c>
      <x:c r="F91" s="7" t="str">
        <x:v>Environmental Pollution</x:v>
      </x:c>
      <x:c r="G91" s="7" t="str">
        <x:v>article</x:v>
      </x:c>
      <x:c r="H91" s="7" t="str">
        <x:v>10.1016/j.envpol.2017.11.092</x:v>
      </x:c>
      <x:c r="I91" s="7" t="str">
        <x:v>https://doi.org/10.1016/j.envpol.2017.11.092</x:v>
      </x:c>
      <x:c r="J91" s="7" t="str"/>
      <x:c r="K91" s="11" t="str">
        <x:v>NO</x:v>
      </x:c>
      <x:c r="L91" s="7" t="str">
        <x:v>NOT_CONFIRMED</x:v>
      </x:c>
      <x:c r="M91" s="7" t="str"/>
      <x:c r="N91" s="7" t="str">
        <x:v>VERIFIED_BIBLIOGRAPHIC_DOCUMENT</x:v>
      </x:c>
      <x:c r="O91" s="7" t="str"/>
      <x:c r="P91" s="11" t="str"/>
      <x:c r="Q91" s="7" t="str"/>
      <x:c r="R91" s="7" t="str"/>
      <x:c r="S91" s="7" t="str"/>
      <x:c r="T91" s="7" t="str"/>
      <x:c r="U91" s="7" t="str"/>
      <x:c r="V91" s="7" t="str">
        <x:v>HUMAN_ACCEPTED_POSITIVE_ENRICHED_CORE</x:v>
      </x:c>
      <x:c r="W91" s="7" t="str">
        <x:v>PEV-034</x:v>
      </x:c>
    </x:row>
    <x:row r="92" ht="42" customHeight="1">
      <x:c r="A92" s="17" t="str">
        <x:v>A</x:v>
      </x:c>
      <x:c r="B92" s="7" t="str">
        <x:v>CWC-31EC2BA27AD5</x:v>
      </x:c>
      <x:c r="C92" s="7" t="str">
        <x:v>The potential impacts of exploratory drilling and aquaculture wastes on cold-water cnidarians with a focus on cold-water corals</x:v>
      </x:c>
      <x:c r="D92" s="7" t="str">
        <x:v>Kathryn Murray</x:v>
      </x:c>
      <x:c r="E92" s="11" t="str">
        <x:v>2024</x:v>
      </x:c>
      <x:c r="F92" s="7" t="str">
        <x:v>Memorial University of Newfoundland</x:v>
      </x:c>
      <x:c r="G92" s="7" t="str">
        <x:v>doctoral thesis</x:v>
      </x:c>
      <x:c r="H92" s="7" t="str">
        <x:v>10.48336/529w-2g70</x:v>
      </x:c>
      <x:c r="I92" s="7" t="str">
        <x:v>https://doi.org/10.48336/529w-2g70</x:v>
      </x:c>
      <x:c r="J92" s="7" t="str">
        <x:v>Experiments tested finfish waste on Gersemia rubiformis and Aulactinia stella and barite/bentonite drilling mud on the deep-sea cup coral Flabellum (Ulocyathus) alabastrum. Reported responses included polyp expansion, mucus secretion, cnidocyte density, and recovery after sedimentation below 6.3 mm.</x:v>
      </x:c>
      <x:c r="K92" s="11" t="str">
        <x:v>YES</x:v>
      </x:c>
      <x:c r="L92" s="7" t="str">
        <x:v>AUTHORITATIVE_REPOSITORY_LANDING_PAGE</x:v>
      </x:c>
      <x:c r="M92" s="7" t="str">
        <x:v>https://research.library.mun.ca/16655/</x:v>
      </x:c>
      <x:c r="N92" s="7" t="str">
        <x:v>VERIFIED_BIBLIOGRAPHIC_DOCUMENT</x:v>
      </x:c>
      <x:c r="O92" s="7" t="str"/>
      <x:c r="P92" s="11" t="str"/>
      <x:c r="Q92" s="7" t="str"/>
      <x:c r="R92" s="7" t="str"/>
      <x:c r="S92" s="7" t="str"/>
      <x:c r="T92" s="7" t="str"/>
      <x:c r="U92" s="7" t="str"/>
      <x:c r="V92" s="7" t="str">
        <x:v>SUPPLEMENTAL_V3_CORE_INCLUDE</x:v>
      </x:c>
      <x:c r="W92" s="7" t="str">
        <x:v>SSV3-001</x:v>
      </x:c>
    </x:row>
    <x:row r="93" ht="42" customHeight="1">
      <x:c r="A93" s="17" t="str">
        <x:v>A</x:v>
      </x:c>
      <x:c r="B93" s="7" t="str">
        <x:v>CWC-5BDFECB9B224</x:v>
      </x:c>
      <x:c r="C93" s="7" t="str">
        <x:v>Asphyxiation by sedimentation? - a sponge's perspective</x:v>
      </x:c>
      <x:c r="D93" s="7" t="str">
        <x:v>Hannah Samantha Schuster</x:v>
      </x:c>
      <x:c r="E93" s="11" t="str">
        <x:v>2013</x:v>
      </x:c>
      <x:c r="F93" s="7" t="str">
        <x:v>University of Southampton, Ocean and Earth Science</x:v>
      </x:c>
      <x:c r="G93" s="7" t="str">
        <x:v>doctoral thesis</x:v>
      </x:c>
      <x:c r="H93" s="7" t="str"/>
      <x:c r="I93" s="7" t="str">
        <x:v>https://eprints.soton.ac.uk/377300/</x:v>
      </x:c>
      <x:c r="J93" s="7" t="str">
        <x:v>The thesis tested natural and anthropogenic sediment exposure in three sponges, including the deep-water species Phakellia ventilabrum. Drill-cutting exposure was tested in P. ventilabrum and Sycon ciliatum; respiration and transcriptional stress responses were measured, with species-specific regulation reported.</x:v>
      </x:c>
      <x:c r="K93" s="11" t="str">
        <x:v>YES</x:v>
      </x:c>
      <x:c r="L93" s="7" t="str">
        <x:v>AUTHORITATIVE_REPOSITORY_FULL_TEXT</x:v>
      </x:c>
      <x:c r="M93" s="7" t="str">
        <x:v>https://eprints.soton.ac.uk/377300/</x:v>
      </x:c>
      <x:c r="N93" s="7" t="str">
        <x:v>VERIFIED_FULL_DOCUMENT_LOCATION</x:v>
      </x:c>
      <x:c r="O93" s="7" t="str"/>
      <x:c r="P93" s="11" t="str"/>
      <x:c r="Q93" s="7" t="str"/>
      <x:c r="R93" s="7" t="str"/>
      <x:c r="S93" s="7" t="str"/>
      <x:c r="T93" s="7" t="str"/>
      <x:c r="U93" s="7" t="str"/>
      <x:c r="V93" s="7" t="str">
        <x:v>SUPPLEMENTAL_V3_CORE_INCLUDE</x:v>
      </x:c>
      <x:c r="W93" s="7" t="str">
        <x:v>SSV3-002</x:v>
      </x:c>
    </x:row>
    <x:row r="94" ht="42" customHeight="1">
      <x:c r="A94" s="17" t="str">
        <x:v>A</x:v>
      </x:c>
      <x:c r="B94" s="7" t="str">
        <x:v>CWC-7ECCBE646349</x:v>
      </x:c>
      <x:c r="C94" s="7" t="str">
        <x:v>Identification and Evaluation of Biological Effects and Impacts of Sediment to Sponge Communities in Hecate Strait</x:v>
      </x:c>
      <x:c r="D94" s="7" t="str">
        <x:v>Fisheries and Oceans Canada</x:v>
      </x:c>
      <x:c r="E94" s="11" t="str">
        <x:v>2013</x:v>
      </x:c>
      <x:c r="F94" s="7" t="str">
        <x:v>Canadian Science Advisory Secretariat, Science Advisory Report 2013/062</x:v>
      </x:c>
      <x:c r="G94" s="7" t="str">
        <x:v>science advisory report</x:v>
      </x:c>
      <x:c r="H94" s="7" t="str"/>
      <x:c r="I94" s="7" t="str">
        <x:v>https://www.dfo-mpo.gc.ca/csas-sccs/Publications/SAR-AS/2013/2013_062-eng.html</x:v>
      </x:c>
      <x:c r="J94" s="7" t="str">
        <x:v>The report assesses sediment effects on Hecate Strait glass sponge communities. It describes pumping arrest during suspended-sediment exposure, clogging after prolonged exposure, reduced water processing and nutrient uptake, and risks from sediment resuspension by fishing activities.</x:v>
      </x:c>
      <x:c r="K94" s="11" t="str">
        <x:v>YES</x:v>
      </x:c>
      <x:c r="L94" s="7" t="str">
        <x:v>AUTHORITATIVE_FULL_DOCUMENT</x:v>
      </x:c>
      <x:c r="M94" s="7" t="str">
        <x:v>https://www.dfo-mpo.gc.ca/csas-sccs/Publications/SAR-AS/2013/2013_062-eng.html</x:v>
      </x:c>
      <x:c r="N94" s="7" t="str">
        <x:v>VERIFIED_FULL_DOCUMENT_LOCATION</x:v>
      </x:c>
      <x:c r="O94" s="7" t="str"/>
      <x:c r="P94" s="11" t="str"/>
      <x:c r="Q94" s="7" t="str"/>
      <x:c r="R94" s="7" t="str"/>
      <x:c r="S94" s="7" t="str"/>
      <x:c r="T94" s="7" t="str"/>
      <x:c r="U94" s="7" t="str"/>
      <x:c r="V94" s="7" t="str">
        <x:v>SUPPLEMENTAL_V3_CORE_INCLUDE</x:v>
      </x:c>
      <x:c r="W94" s="7" t="str">
        <x:v>SSV3-003</x:v>
      </x:c>
    </x:row>
    <x:row r="95" ht="42" customHeight="1">
      <x:c r="A95" s="17" t="str">
        <x:v>A</x:v>
      </x:c>
      <x:c r="B95" s="7" t="str">
        <x:v>CWC-21DAFD239A8B</x:v>
      </x:c>
      <x:c r="C95" s="7" t="str">
        <x:v>Coral and Sponge Mitigations in Relation to Exploratory Drilling Programs in the Newfoundland and Labrador Region</x:v>
      </x:c>
      <x:c r="D95" s="7" t="str">
        <x:v>Fisheries and Oceans Canada</x:v>
      </x:c>
      <x:c r="E95" s="11" t="str">
        <x:v>2021</x:v>
      </x:c>
      <x:c r="F95" s="7" t="str">
        <x:v>Canadian Science Advisory Secretariat, Science Advisory Report 2021/028</x:v>
      </x:c>
      <x:c r="G95" s="7" t="str">
        <x:v>science advisory report</x:v>
      </x:c>
      <x:c r="H95" s="7" t="str"/>
      <x:c r="I95" s="7" t="str">
        <x:v>https://www.dfo-mpo.gc.ca/csas-sccs/Publications/SAR-AS/2021/2021_028-eng.html</x:v>
      </x:c>
      <x:c r="J95" s="7" t="str">
        <x:v>Peer-reviewed advice on avoiding and mitigating exploratory-drilling impacts to Newfoundland and Labrador corals and sponges. It applies a 1.5 mm probable no-effects sediment-deposition threshold in drilling-discharge dispersion modelling and discusses monitoring and cumulative effects.</x:v>
      </x:c>
      <x:c r="K95" s="11" t="str">
        <x:v>YES</x:v>
      </x:c>
      <x:c r="L95" s="7" t="str">
        <x:v>AUTHORITATIVE_FULL_DOCUMENT</x:v>
      </x:c>
      <x:c r="M95" s="7" t="str">
        <x:v>https://www.dfo-mpo.gc.ca/csas-sccs/Publications/SAR-AS/2021/2021_028-eng.html</x:v>
      </x:c>
      <x:c r="N95" s="7" t="str">
        <x:v>VERIFIED_FULL_DOCUMENT_LOCATION</x:v>
      </x:c>
      <x:c r="O95" s="7" t="str"/>
      <x:c r="P95" s="11" t="str"/>
      <x:c r="Q95" s="7" t="str"/>
      <x:c r="R95" s="7" t="str"/>
      <x:c r="S95" s="7" t="str"/>
      <x:c r="T95" s="7" t="str"/>
      <x:c r="U95" s="7" t="str"/>
      <x:c r="V95" s="7" t="str">
        <x:v>SUPPLEMENTAL_V3_CORE_INCLUDE</x:v>
      </x:c>
      <x:c r="W95" s="7" t="str">
        <x:v>SSV3-004</x:v>
      </x:c>
    </x:row>
    <x:row r="96" ht="42" customHeight="1">
      <x:c r="A96" s="17" t="str">
        <x:v>A</x:v>
      </x:c>
      <x:c r="B96" s="7" t="str">
        <x:v>CWC-91FA2484508E</x:v>
      </x:c>
      <x:c r="C96" s="7" t="str">
        <x:v>Considerations for the Authorization of Bottom-Contacting Scientific Surveys Within Protected Areas in the Newfoundland and Labrador Region</x:v>
      </x:c>
      <x:c r="D96" s="7" t="str">
        <x:v>R. M. Rideout | M. Warren | K. Skanes | J. Pantin | B. Neves | V. Wareham-Hayes | H. Munro | F. Cyr | C. Pretty | B. Rogers | M. Koen-Alonso</x:v>
      </x:c>
      <x:c r="E96" s="11" t="str">
        <x:v>2024</x:v>
      </x:c>
      <x:c r="F96" s="7" t="str">
        <x:v>Canadian Science Advisory Secretariat, Research Document 2024/073</x:v>
      </x:c>
      <x:c r="G96" s="7" t="str">
        <x:v>research document</x:v>
      </x:c>
      <x:c r="H96" s="7" t="str"/>
      <x:c r="I96" s="7" t="str">
        <x:v>https://www.dfo-mpo.gc.ca/csas-sccs/Publications/ResDocs-DocRech/2024/2024_073-eng.html</x:v>
      </x:c>
      <x:c r="J96" s="7" t="str">
        <x:v>The document reviews bottom-contact fishing and survey impacts on sensitive benthic taxa in protected areas. Its coral-and-sponge section discusses smothering, suspended-sediment exposure, feeding arrest thresholds in glass sponges, damage, mortality, and recovery, while the report's primary purpose is survey authorization.</x:v>
      </x:c>
      <x:c r="K96" s="11" t="str">
        <x:v>YES</x:v>
      </x:c>
      <x:c r="L96" s="7" t="str">
        <x:v>AUTHORITATIVE_FULL_DOCUMENT</x:v>
      </x:c>
      <x:c r="M96" s="7" t="str">
        <x:v>https://www.dfo-mpo.gc.ca/csas-sccs/Publications/ResDocs-DocRech/2024/2024_073-eng.html</x:v>
      </x:c>
      <x:c r="N96" s="7" t="str">
        <x:v>VERIFIED_FULL_DOCUMENT_LOCATION</x:v>
      </x:c>
      <x:c r="O96" s="7" t="str"/>
      <x:c r="P96" s="11" t="str"/>
      <x:c r="Q96" s="7" t="str"/>
      <x:c r="R96" s="7" t="str"/>
      <x:c r="S96" s="7" t="str"/>
      <x:c r="T96" s="7" t="str"/>
      <x:c r="U96" s="7" t="str"/>
      <x:c r="V96" s="7" t="str">
        <x:v>SUPPLEMENTAL_V3_CORE_INCLUDE</x:v>
      </x:c>
      <x:c r="W96" s="7" t="str">
        <x:v>SSV3-007</x:v>
      </x:c>
    </x:row>
    <x:row r="97" ht="42" customHeight="1">
      <x:c r="A97" s="17" t="str">
        <x:v>B</x:v>
      </x:c>
      <x:c r="B97" s="7" t="str">
        <x:v>GLV4-E5198CAEE75A</x:v>
      </x:c>
      <x:c r="C97" s="7" t="str">
        <x:v>1 Environmental Monitoring Report Morvin 2009-2010</x:v>
      </x:c>
      <x:c r="D97" s="7" t="str"/>
      <x:c r="E97" s="11" t="str">
        <x:v>2009</x:v>
      </x:c>
      <x:c r="F97" s="7" t="str">
        <x:v>hi.no</x:v>
      </x:c>
      <x:c r="G97" s="7" t="str">
        <x:v>monitoring_report</x:v>
      </x:c>
      <x:c r="H97" s="7" t="str"/>
      <x:c r="I97" s="7" t="str">
        <x:v>https://www.hi.no/resources/publikasjoner/rapport-fra-havforskningen/andre_rapporter/morvin_environmental_monitoring_report_2_.pdf</x:v>
      </x:c>
      <x:c r="J97" s="7" t="str">
        <x:v>behavioural changes of corals being exposed to this plume. Further, samples of cold-water corals were collected to investigate differences in feeding behaviour in corals that had been exposed to drill cuttings and corals that had not. Together with more traditional monitoring as sediment push core and trap samples this would give a good overview of the environmental impact of the release of drill cuttings. Unfortunately, the outcome of the study was reduced due to a series of technical problems. The acoustic lander monitoring had to be abandoned due to the early loss of the communication buoy.</x:v>
      </x:c>
      <x:c r="K97" s="11" t="str">
        <x:v>YES</x:v>
      </x:c>
      <x:c r="L97" s="7" t="str">
        <x:v>PUBLIC_FULL_DOCUMENT_LOCATION</x:v>
      </x:c>
      <x:c r="M97" s="7" t="str">
        <x:v>https://www.hi.no/resources/publikasjoner/rapport-fra-havforskningen/andre_rapporter/morvin_environmental_monitoring_report_2_.pdf</x:v>
      </x:c>
      <x:c r="N97" s="7" t="str">
        <x:v>VERIFIED_DIRECT_DOCUMENT_URL</x:v>
      </x:c>
      <x:c r="O97" s="7" t="str">
        <x:v>B01_DEEP_COLD_SEDIMENT_EVIDENCE</x:v>
      </x:c>
      <x:c r="P97" s="11" t="str">
        <x:v>HIGH</x:v>
      </x:c>
      <x:c r="Q97" s="7" t="str">
        <x:v>Cold-water corals (specific species not stated).</x:v>
      </x:c>
      <x:c r="R97" s="7" t="str">
        <x:v>Drill cuttings, plume, sediment exposure, sediment push core and trap samples.</x:v>
      </x:c>
      <x:c r="S97" s="7" t="str">
        <x:v>Behavioural changes of corals exposed to the plume; feeding behaviour differences between exposed and unexposed corals; environmental impact monitoring.</x:v>
      </x:c>
      <x:c r="T97" s="7" t="str">
        <x:v>This is a deep-sea/cold-water monitoring report explicitly investigating drill-cuttings impacts on cold-water corals, with direct biological response evidence (behavioural and feeding changes) and supplementary sediment monitoring.</x:v>
      </x:c>
      <x:c r="U97" s="7" t="str">
        <x:v>The record is a substantive monitoring report from the Norwegian Institute of Marine Research (hi.no) on the Morvin field. It directly addresses cold-water coral exposure to a drill-cuttings plume, including behavioural changes and feeding behaviour comparisons, plus traditional sediment monitoring. This meets Tier B criterion B01 for deep/cold coral sediment evidence. The closest alternative would be B02 (review/assessment) or CHAIN_ONLY, but the report contains direct organism-level response data, so B01 is more specific. Technical problems reduced the study outcome but do not negate the evidence. Access is public, but eligibility is unaffected.</x:v>
      </x:c>
      <x:c r="V97" s="7" t="str">
        <x:v>ALL_VERIFIED_NON_TROPICAL_TIER_B_INCLUSIONS</x:v>
      </x:c>
      <x:c r="W97" s="7" t="str">
        <x:v>TBV1-0425</x:v>
      </x:c>
    </x:row>
    <x:row r="98" ht="42" customHeight="1">
      <x:c r="A98" s="17" t="str">
        <x:v>B</x:v>
      </x:c>
      <x:c r="B98" s="7" t="str">
        <x:v>GLV4-2BD81E337C82</x:v>
      </x:c>
      <x:c r="C98" s="7" t="str">
        <x:v>2. Our coasts and estuaries are affected by a changing ocean | Ministry for the Environment</x:v>
      </x:c>
      <x:c r="D98" s="7" t="str"/>
      <x:c r="E98" s="11" t="str">
        <x:v>2025</x:v>
      </x:c>
      <x:c r="F98" s="7" t="str">
        <x:v>environment.govt.nz</x:v>
      </x:c>
      <x:c r="G98" s="7" t="str">
        <x:v>report</x:v>
      </x:c>
      <x:c r="H98" s="7" t="str"/>
      <x:c r="I98" s="7" t="str">
        <x:v>https://environment.govt.nz/publications/our-marine-environment-2025/our-coasts-and-estuaries-are-affected-by-a-changing-ocean</x:v>
      </x:c>
      <x:c r="J98" s="7" t="str">
        <x:v>Cyclone Gabrielle in 2023 highlighted the impacts that severe weather events can have on the marine environment. Excess sediment and resuspension of settled sediment during the event damaged seafloor habitats and ecosystems (Leduc et al, 2024). For example, pre- and post-cyclone imagery data show that populations of kelp, other macroalgae (seaweed) and sponges in the Wairoa Hard seabed area of Hawke’s Bay were almost completely lost following Cyclone Gabrielle. It is highly likely that the loss was due to sediment impacts from the cyclone. Seafloor animals in Hawke’s Bay and Gisborne also show</x:v>
      </x:c>
      <x:c r="K98" s="11" t="str">
        <x:v>NO</x:v>
      </x:c>
      <x:c r="L98" s="7" t="str">
        <x:v>NOT_CONFIRMED</x:v>
      </x:c>
      <x:c r="M98" s="7" t="str"/>
      <x:c r="N98" s="7" t="str">
        <x:v>VERIFIED_BIBLIOGRAPHIC_DOCUMENT</x:v>
      </x:c>
      <x:c r="O98" s="7" t="str">
        <x:v>B05_BROAD_SYNTHESIS_WITH_TARGET_EVIDENCE</x:v>
      </x:c>
      <x:c r="P98" s="11" t="str">
        <x:v>HIGH</x:v>
      </x:c>
      <x:c r="Q98" s="7" t="str">
        <x:v>Sponges (New Zealand coastal temperate); also kelp and macroalgae.</x:v>
      </x:c>
      <x:c r="R98" s="7" t="str">
        <x:v>Excess sediment and resuspension of settled sediment caused by Cyclone Gabrielle (2023) in Hawke's Bay.</x:v>
      </x:c>
      <x:c r="S98" s="7" t="str">
        <x:v>Pre- and post-cyclone imagery showed sponge populations almost completely lost, attributed to sediment impacts.</x:v>
      </x:c>
      <x:c r="T98" s="7" t="str">
        <x:v>Broad government assessment (Ministry for the Environment) covering sediment effects on marine ecosystems; separately reports loss of sponge populations due to sediment.</x:v>
      </x:c>
      <x:c r="U98" s="7" t="str">
        <x:v>This is a New Zealand government assessment of marine environment impact from a changing ocean. The supplied text explicitly describes excess sediment and resuspension during Cyclone Gabrielle causing near-total loss of sponges in Wairoa Hard seabed area, with strong attribution to sediment. This provides monitoring/assessment evidence for non-tropical sponge sediment effects. It is a broad synthesis rather than a dedicated deep/cold study, so B05 is the best fit; it does not meet B01 because the environment is coastal temperate rather than deep-sea/cold-water, and it is not a direct experimental mechanism study (B03). The record is substantive and should be included.</x:v>
      </x:c>
      <x:c r="V98" s="7" t="str">
        <x:v>ALL_VERIFIED_NON_TROPICAL_TIER_B_INCLUSIONS</x:v>
      </x:c>
      <x:c r="W98" s="7" t="str">
        <x:v>TBV1-0986</x:v>
      </x:c>
    </x:row>
    <x:row r="99" ht="42" customHeight="1">
      <x:c r="A99" s="17" t="str">
        <x:v>B</x:v>
      </x:c>
      <x:c r="B99" s="7" t="str">
        <x:v>GLV4-90C6A04C4289</x:v>
      </x:c>
      <x:c r="C99" s="7" t="str">
        <x:v>2nd Offshore Carbon Dioxide Storage Licensing Round</x:v>
      </x:c>
      <x:c r="D99" s="7" t="str"/>
      <x:c r="E99" s="11" t="str"/>
      <x:c r="F99" s="7" t="str">
        <x:v>assets.publishing.service.gov.uk</x:v>
      </x:c>
      <x:c r="G99" s="7" t="str">
        <x:v>report</x:v>
      </x:c>
      <x:c r="H99" s="7" t="str"/>
      <x:c r="I99" s="7" t="str">
        <x:v>https://assets.publishing.service.gov.uk/media/6a5e30c130f5842e1f5a5e90/2nd_CS_Round_HRA_AA_Draft.pdf</x:v>
      </x:c>
      <x:c r="J99" s="7" t="str">
        <x:v>areas with sensitive benthic fauna, for example corals and sponges. Laboratory experiments by Allers et al. (2013) indicated that cold water coral (Lophelia pertusa = Desmophyllum pertusum) fragments were resilient to sedimentation-induced oxygen stress, but if coverage by sediment was complete and lasted long enough, the coral could not recover and died. Such effects can be mitigated in areas of sensitive species presence through site specific controls on whether, and where, drilling discharges are made. Järnegren et al. (2017) noted that natural high turbidity events lasting hours or days ca</x:v>
      </x:c>
      <x:c r="K99" s="11" t="str">
        <x:v>YES</x:v>
      </x:c>
      <x:c r="L99" s="7" t="str">
        <x:v>PUBLIC_FULL_DOCUMENT_LOCATION</x:v>
      </x:c>
      <x:c r="M99" s="7" t="str">
        <x:v>https://assets.publishing.service.gov.uk/media/6a5e30c130f5842e1f5a5e90/2nd_CS_Round_HRA_AA_Draft.pdf</x:v>
      </x:c>
      <x:c r="N99" s="7" t="str">
        <x:v>VERIFIED_DIRECT_DOCUMENT_URL</x:v>
      </x:c>
      <x:c r="O99" s="7" t="str">
        <x:v>B02_DEEP_COLD_REVIEW_ASSESSMENT</x:v>
      </x:c>
      <x:c r="P99" s="11" t="str">
        <x:v>HIGH</x:v>
      </x:c>
      <x:c r="Q99" s="7" t="str">
        <x:v>Cold-water coral Lophelia pertusa (Desmophyllum pertusum) and sensitive benthic fauna including corals and sponges.</x:v>
      </x:c>
      <x:c r="R99" s="7" t="str">
        <x:v>Sedimentation, complete sediment coverage, drilling discharges, and natural high turbidity events.</x:v>
      </x:c>
      <x:c r="S99" s="7" t="str">
        <x:v>Reports coral resilience to sedimentation-induced oxygen stress but mortality from complete and prolonged sediment coverage; includes mitigation through site-specific controls on drilling discharges.</x:v>
      </x:c>
      <x:c r="T99" s="7" t="str">
        <x:v>A government regulatory assessment (HRA/AA draft) for an offshore CO2 storage licensing round that directly evaluates sediment impacts on deep/cold-water corals and sponges, including biological responses and mitigation measures. This is a substantive assessment document with a clear sediment-impact focus, meeting B02.</x:v>
      </x:c>
      <x:c r="U99" s="7" t="str">
        <x:v>This record is a regulatory assessment (HRA/AA draft) from a government source, explicitly discussing sediment-related effects on cold-water corals and sponges. The abstract snippet cites laboratory evidence on Lophelia pertusa responses to sedimentation and oxygen stress, mortality from complete sediment coverage, and mitigation via drilling discharge controls. This is a direct sediment-impact assessment for deep/cold corals and sponges, fitting B02_DEEP_COLD_REVIEW_ASSESSMENT. It is preferable to B01 because it is a review/assessment rather than primary experimental evidence, and preferable to CHAIN_ONLY because it contains substantive directly relevant content rather than only references. Exclude is inappropriate because the sediment pathway and biological/assessment value are explicit. Confidence is high based on the provided abstract.</x:v>
      </x:c>
      <x:c r="V99" s="7" t="str">
        <x:v>ALL_VERIFIED_NON_TROPICAL_TIER_B_INCLUSIONS</x:v>
      </x:c>
      <x:c r="W99" s="7" t="str">
        <x:v>TBV1-0524</x:v>
      </x:c>
    </x:row>
    <x:row r="100" ht="42" customHeight="1">
      <x:c r="A100" s="17" t="str">
        <x:v>B</x:v>
      </x:c>
      <x:c r="B100" s="7" t="str">
        <x:v>CWC-78BCE67F0BDF</x:v>
      </x:c>
      <x:c r="C100" s="7" t="str">
        <x:v>Accelerated growth of the scleractinian coral Orbicella faveolata under turbid and polluted water conditions</x:v>
      </x:c>
      <x:c r="D100" s="7" t="str">
        <x:v>Luis Lizcano-Sandoval | Ángela M. Marulanda-Gómez | Mateo López‐Victoria | Alberto Rodriguez‐Ramirez</x:v>
      </x:c>
      <x:c r="E100" s="11" t="str">
        <x:v>2024</x:v>
      </x:c>
      <x:c r="F100" s="7" t="str">
        <x:v>bioRxiv (Cold Spring Harbor Laboratory)</x:v>
      </x:c>
      <x:c r="G100" s="7" t="str">
        <x:v>preprint</x:v>
      </x:c>
      <x:c r="H100" s="7" t="str">
        <x:v>10.1101/2024.11.20.624512</x:v>
      </x:c>
      <x:c r="I100" s="7" t="str">
        <x:v>https://doi.org/10.1101/2024.11.20.624512</x:v>
      </x:c>
      <x:c r="J100" s="7" t="str">
        <x:v>Abstract Cartagena Bay, Colombia, experienced historical changes in water quality, mainly due to dredging and channelization of the Canal del Dique, which connects the bay with the Magdalena River. In 1981 the largest dredging events occurred in the Canal del Dique, which negatively affected the water quality in the bay. In this bay, the coral reef of Varadero depicts high coral diversity and large coral colonies, showing apparent signs of a healthy ecosystem, under highly turbid and polluted waters. Here, we evaluated the potential effects of historical water quality changes and environmental variables on the coral skeletal growth of Orbicella faveolata . We obtained coral growth information from 65 years in the period 1951–2015. Coral skeletal density was 0.73 g cm -3 , linear extension 1.02 cm yr -1 , and calcification 0.74 g cm -2 yr -1 . After 1981, significant changes in coral growth and luminescence were found: skeletal density decreased (9.9%), linear extension increased (6.6%), and skeletal luminescence was less intense (1.6%). In overall, Atlantic Multidecadal Oscillation (AMO) data explained changes in skeletal density (8–10%) and linear extension (7–19%). Air temperature explained changes in skeletal luminescence (22–45%). Water flow of the Canal del Dique did not contribute significantly to any coral growth and luminescence variables. The growth of O. faveolata in Varadero Reef was characterized by low density skeletons and an accelerated linear extension, apparently influenced by the dredging events of 1981. Further research is required to understand coral growth responses and resilience to the conditions of high turbidity, pollution, and low light in Cartagena Bay.</x:v>
      </x:c>
      <x:c r="K100" s="11" t="str">
        <x:v>YES</x:v>
      </x:c>
      <x:c r="L100" s="7" t="str">
        <x:v>FROZEN_PUBLIC_FULL_TEXT_LOCATION</x:v>
      </x:c>
      <x:c r="M100" s="7" t="str">
        <x:v>https://www.biorxiv.org/content/biorxiv/early/2024/11/21/2024.11.20.624512.full.pdf</x:v>
      </x:c>
      <x:c r="N100" s="7" t="str">
        <x:v>VERIFIED_DOI_DOCUMENT</x:v>
      </x:c>
      <x:c r="O100" s="7" t="str">
        <x:v>B04_TROPICAL_PHYSICAL_SEDIMENT_ANALOGUE</x:v>
      </x:c>
      <x:c r="P100" s="11" t="str">
        <x:v>HIGH</x:v>
      </x:c>
      <x:c r="Q100" s="7" t="str">
        <x:v>Tropical scleractinian coral Orbicella faveolata from Varadero Reef, Cartagena Bay, Colombia.</x:v>
      </x:c>
      <x:c r="R100" s="7" t="str">
        <x:v>Historical water quality changes due to dredging and channelization of Canal del Dique, causing high turbidity and polluted waters; study evaluates effects of these conditions on coral growth.</x:v>
      </x:c>
      <x:c r="S100" s="7" t="str">
        <x:v>Coral skeletal growth metrics: skeletal density (decreased 9.9%), linear extension (increased 6.6%), calcification, and luminescence; significant changes after 1981 dredging events.</x:v>
      </x:c>
      <x:c r="T100" s="7" t="str">
        <x:v>Tropical coral study directly measuring biological response (growth metrics) to physical sediment-related exposure (turbidity/dredging), meeting B04 broader physical sediment analogue criteria.</x:v>
      </x:c>
      <x:c r="U100" s="7" t="str">
        <x:v>The record is a substantive preprint on a tropical coral (O. faveolata) from a reef under turbid and polluted conditions linked to dredging. It directly measures skeletal growth responses (density and extension) after major dredging events, providing clear sediment-pathway biological response evidence. This qualifies under B04 as a tropical physical sediment analogue, broader than Tier A. Not B01 because the coral is tropical, not deep/cold. Not B03 because it is tropical. Not B05 because it is not a broad synthesis. The abstract provides sufficient evidence for inclusion.</x:v>
      </x:c>
      <x:c r="V100" s="7" t="str">
        <x:v>SPARING_TOP_25_TROPICAL_DIRECT_PHYSICAL_ANALOGUES</x:v>
      </x:c>
      <x:c r="W100" s="7" t="str">
        <x:v>TBV1-1017</x:v>
      </x:c>
    </x:row>
    <x:row r="101" ht="42" customHeight="1">
      <x:c r="A101" s="17" t="str">
        <x:v>B</x:v>
      </x:c>
      <x:c r="B101" s="7" t="str">
        <x:v>CWC-D655E9142F8E</x:v>
      </x:c>
      <x:c r="C101" s="7" t="str">
        <x:v>Achieving adequate protection for Howe Sound's glass sponge reefs and gardens</x:v>
      </x:c>
      <x:c r="D101" s="7" t="str">
        <x:v>Camille Mohn</x:v>
      </x:c>
      <x:c r="E101" s="11" t="str">
        <x:v>2017</x:v>
      </x:c>
      <x:c r="F101" s="7" t="str">
        <x:v>cIRcle (University of British Columbia)</x:v>
      </x:c>
      <x:c r="G101" s="7" t="str">
        <x:v>report</x:v>
      </x:c>
      <x:c r="H101" s="7" t="str">
        <x:v>10.14288/1.0305012</x:v>
      </x:c>
      <x:c r="I101" s="7" t="str">
        <x:v>https://doi.org/10.14288/1.0305012</x:v>
      </x:c>
      <x:c r="J101" s="7" t="str">
        <x:v>What needs to be done in order to adequately protect Howe Sound’s glass sponge reefs? Monitoring of fishing closures in Howe Sound is currently insufficient to properly enforce fishing closures. Thus, increased funding will be required to properly monitor current and future glass sponge reef fishing closures. Further, the mining company Burnco is proposing a mine at McNab creek, on the west shore of Howe Sound. Since glass sponges are extremely sensitive to sedimentation and sedimentation from the mine is inevitable, the amount of sediment that could reach the nearest class sponges and the sediment tolerance of these sponges must be determined. Dr. Leys, from the University of Alberta, is currently researching sediment tolerance of glass sponge reefs to help answer these questions. Burnco’s project should be put on hold until further results are found. I also recommend that boat rental companies be held liable when anchors from their boats damage glass sponge reefs, that a smartphone app be created to help recreational boaters keep their anchors out of glass sponge reefs and that further efforts to educate the public on glass sponge reefs be made. This study was suggested by community partners from Ken Melamed from the Green Party of Canada and Ruth Simons from the Future of Howe Sound Society. A literature review and interviews with experts were conducted in order to answer this question and provide recommendations for future policymaking. Glass sponge reefs are a Jurassic formation believed extinct until the 1980s when they were discovered off the coast of British Columbia. Since then, smaller glass sponge reefs and gardens continue to be discovered. Glass sponge reefs provide valuable ecosystems services such as water filtration and purification and endangered rockfish habitat. They may also sequester carbon. Glass sponge gardens host even greater biodiversity than glass sponge reefs and serve as nurseries for endangered rockfish. As research on glass sponges has progressed, new formations have been discovered, damage to reefs has been observed and industrial projects have been proposed near reef locations. Ensuring protection of these formations has become pressing. In Howe Sound there are two glass sponge reefs currently protected through fishing closures assigned by Canada’s Department of Fisheries and Oceans (DFO). One other reef in Howe Sound will soon gain protection since the province of British Columbia will increase the size of Halkett Bay Marine Provincial Park. Yet many other glass sponge reefs and gardens in Howe Sound still lack protection. Some glass sponge reefs are indirectly protected because they happen to be located in Rockfish Conservations Areas. The Canadian Parks and Wilderness Society (CPAWS) would like to establish Marine Protected Areas (MPAs) for glass sponge reefs in Howe Sound; however neither of these options will protect glass sponges from all types of fishing gear. DFO fishing closures will be required to achieve this.</x:v>
      </x:c>
      <x:c r="K101" s="11" t="str">
        <x:v>NO</x:v>
      </x:c>
      <x:c r="L101" s="7" t="str">
        <x:v>NOT_CONFIRMED</x:v>
      </x:c>
      <x:c r="M101" s="7" t="str"/>
      <x:c r="N101" s="7" t="str">
        <x:v>VERIFIED_DOI_DOCUMENT</x:v>
      </x:c>
      <x:c r="O101" s="7" t="str">
        <x:v>B02_DEEP_COLD_REVIEW_ASSESSMENT</x:v>
      </x:c>
      <x:c r="P101" s="11" t="str">
        <x:v>HIGH</x:v>
      </x:c>
      <x:c r="Q101" s="7" t="str">
        <x:v>Glass sponge reefs and gardens (Hexactinellida) in Howe Sound, British Columbia.</x:v>
      </x:c>
      <x:c r="R101" s="7" t="str">
        <x:v>Sedimentation from proposed Burnco mine at McNab Creek; sediment potentially reaching nearby glass sponges; need to determine sediment tolerance.</x:v>
      </x:c>
      <x:c r="S101" s="7" t="str">
        <x:v>Assessment of protection adequacy for glass sponge reefs; notes insufficient monitoring of fishing closures; recommends determining sediment tolerance and pausing mining until results are available; also discusses anchor damage and public education.</x:v>
      </x:c>
      <x:c r="T101" s="7" t="str">
        <x:v>B02_DEEP_COLD_REVIEW_ASSESSMENT: Substantive report with direct sediment-impact focus on cold-water glass sponges, providing management recommendations and highlighting research needs on sediment tolerance.</x:v>
      </x:c>
      <x:c r="U101" s="7" t="str">
        <x:v>This is a substantive report on protecting cold-water glass sponge reefs in Howe Sound. It explicitly identifies sedimentation from a proposed mine as a key threat, notes that glass sponges are extremely sensitive to sedimentation, and calls for determining sediment tolerance. This qualifies under B02 as a review/assessment with direct sediment-impact focus and clear potential to inform effects, exposure, thresholds, and mitigation. It is not primary experimental evidence, so B01 is less appropriate, but the report synthesizes current knowledge and provides policy-relevant recommendations. The organism (glass sponges) and sediment pathway are explicit, and the response/assessment value is clear.</x:v>
      </x:c>
      <x:c r="V101" s="7" t="str">
        <x:v>ALL_VERIFIED_NON_TROPICAL_TIER_B_INCLUSIONS</x:v>
      </x:c>
      <x:c r="W101" s="7" t="str">
        <x:v>TBV1-0031</x:v>
      </x:c>
    </x:row>
    <x:row r="102" ht="42" customHeight="1">
      <x:c r="A102" s="17" t="str">
        <x:v>B</x:v>
      </x:c>
      <x:c r="B102" s="7" t="str">
        <x:v>CWC-EF0CBC2EDD39</x:v>
      </x:c>
      <x:c r="C102" s="7" t="str">
        <x:v>Add-on studies to the current NFR Project “Impact of water- based drilling mud: a study using the epibenthic coral species Lophelia pertusa</x:v>
      </x:c>
      <x:c r="D102" s="7" t="str">
        <x:v>Thierry Baussant | Fiona Provan | Maria Sydnes | Fiona M. Lyng | Eivind Larssen | Bjørkblom, C. | Krista M. Kaster | Boccadoro, Cathrine | Nævdal, A. | A. Eide</x:v>
      </x:c>
      <x:c r="E102" s="11" t="str">
        <x:v>2010</x:v>
      </x:c>
      <x:c r="F102" s="7" t="str">
        <x:v>Duo Research Archive (University of Oslo)</x:v>
      </x:c>
      <x:c r="G102" s="7" t="str">
        <x:v>report</x:v>
      </x:c>
      <x:c r="H102" s="7" t="str"/>
      <x:c r="I102" s="7" t="str">
        <x:v>http://hdl.handle.net/11250/2632304</x:v>
      </x:c>
      <x:c r="J102" s="7" t="str">
        <x:v>This study was made in the frame of an ongoing NFR project aiming at assessing the impact of drilling mud (DM) discharges from offshore O&amp;G operations on the coldwater coral species Lophelia pertusa. Here, we have initiated developments and use of methodologies that could have a potential for application, at a later stage of their optimization, in field monitoring of coral health and hence for documenting the effects of drilling mud discharges</x:v>
      </x:c>
      <x:c r="K102" s="11" t="str">
        <x:v>NO</x:v>
      </x:c>
      <x:c r="L102" s="7" t="str">
        <x:v>NOT_CONFIRMED</x:v>
      </x:c>
      <x:c r="M102" s="7" t="str"/>
      <x:c r="N102" s="7" t="str">
        <x:v>VERIFIED_BIBLIOGRAPHIC_DOCUMENT</x:v>
      </x:c>
      <x:c r="O102" s="7" t="str">
        <x:v>B01_DEEP_COLD_SEDIMENT_EVIDENCE</x:v>
      </x:c>
      <x:c r="P102" s="11" t="str">
        <x:v>HIGH</x:v>
      </x:c>
      <x:c r="Q102" s="7" t="str">
        <x:v>Cold-water coral Lophelia pertusa</x:v>
      </x:c>
      <x:c r="R102" s="7" t="str">
        <x:v>Water-based drilling mud discharges from offshore oil and gas operations</x:v>
      </x:c>
      <x:c r="S102" s="7" t="str">
        <x:v>Development of methodologies for field monitoring of coral health and documenting effects of drilling mud discharges</x:v>
      </x:c>
      <x:c r="T102" s="7" t="str">
        <x:v>Explicit deep/cold coral with a direct sediment-related pathway (drilling mud) and biological/ecological impact evidence (monitoring methodologies and effect documentation).</x:v>
      </x:c>
      <x:c r="U102" s="7" t="str">
        <x:v>This report is substantively focused on the cold-water coral Lophelia pertusa and the impact of water-based drilling mud, a sediment-related stressor. The abstract describes developing and using methodologies to assess coral health and document the effects of drilling mud discharges, which constitutes biological/ecological impact evidence. This matches B01 (deep/cold sediment evidence) rather than B02 because it is a research report conducting or developing direct evidence, not a pure review or assessment. The explicit organism, stressor, and response are all present, so exclusion or uncertainty is not warranted.</x:v>
      </x:c>
      <x:c r="V102" s="7" t="str">
        <x:v>ALL_VERIFIED_NON_TROPICAL_TIER_B_INCLUSIONS</x:v>
      </x:c>
      <x:c r="W102" s="7" t="str">
        <x:v>TBV1-0011</x:v>
      </x:c>
    </x:row>
    <x:row r="103" ht="42" customHeight="1">
      <x:c r="A103" s="17" t="str">
        <x:v>B</x:v>
      </x:c>
      <x:c r="B103" s="7" t="str">
        <x:v>CWC-20B3F92CE246</x:v>
      </x:c>
      <x:c r="C103" s="7" t="str">
        <x:v>Additive negative effects of anthropogenic sedimentation and warming on the survival of coral recruits</x:v>
      </x:c>
      <x:c r="D103" s="7" t="str">
        <x:v>Francesca Fourney | Joana Figueiredo</x:v>
      </x:c>
      <x:c r="E103" s="11" t="str">
        <x:v>2017</x:v>
      </x:c>
      <x:c r="F103" s="7" t="str">
        <x:v>Scientific Reports</x:v>
      </x:c>
      <x:c r="G103" s="7" t="str">
        <x:v>article</x:v>
      </x:c>
      <x:c r="H103" s="7" t="str">
        <x:v>10.1038/s41598-017-12607-w</x:v>
      </x:c>
      <x:c r="I103" s="7" t="str">
        <x:v>https://doi.org/10.1038/s41598-017-12607-w</x:v>
      </x:c>
      <x:c r="J103" s="7" t="str">
        <x:v>Abstract Corals worldwide are facing population declines due to global climate change and local anthropogenic impacts. Global climate change effects are hard to tackle but recent studies show that some coral species can better handle climate change stress when provided with additional energy resources. The local stressor that most undermines energy acquisition is sedimentation because it impedes coral heterotrophic feeding and their ability to photosynthesize. To investigate if reducing local sedimentation will enable corals to better endure ocean warming, we quantitatively assessed the combined effects of increased temperature and sedimentation (concentration and turbidity) on the survival of coral recruits of the species, Porites astreoides . We used sediment from a reef and a boat basin to mimic natural sediment (coarse) and anthropogenic (fine) sediment (common in dredging), respectively. Natural sediment did not negatively impact coral survival, but anthropogenic sediment did. We found that the capacity of coral recruits to survive under warmer temperatures is less compromised when anthropogenic sedimentation is maintained at the lowest level (30 mg.cm −2 ). Our study suggests that a reduction of US-EPA allowable turbidity from 29 Nephelometric Turbidity Units (NTU) above background to less than 7 NTU near coral reefs would facilitate coral recruit survival under current and higher temperatures.</x:v>
      </x:c>
      <x:c r="K103" s="11" t="str">
        <x:v>YES</x:v>
      </x:c>
      <x:c r="L103" s="7" t="str">
        <x:v>FROZEN_PUBLIC_FULL_TEXT_LOCATION</x:v>
      </x:c>
      <x:c r="M103" s="7" t="str">
        <x:v>https://www.nature.com/articles/s41598-017-12607-w.pdf</x:v>
      </x:c>
      <x:c r="N103" s="7" t="str">
        <x:v>VERIFIED_DOI_DOCUMENT</x:v>
      </x:c>
      <x:c r="O103" s="7" t="str">
        <x:v>B04_TROPICAL_PHYSICAL_SEDIMENT_ANALOGUE</x:v>
      </x:c>
      <x:c r="P103" s="11" t="str">
        <x:v>HIGH</x:v>
      </x:c>
      <x:c r="Q103" s="7" t="str">
        <x:v>Coral recruits of the species Porites astreoides (tropical scleractinian coral)</x:v>
      </x:c>
      <x:c r="R103" s="7" t="str">
        <x:v>Anthropogenic sedimentation (fine sediment from boat basin) and turbidity, combined with increased temperature; natural sediment compared</x:v>
      </x:c>
      <x:c r="S103" s="7" t="str">
        <x:v>Quantitative assessment of recruit survival under sediment concentration and turbidity; survival was reduced by anthropogenic sediment and additive with warming; suggests turbidity threshold reduction from 29 NTU to &lt;7 NTU to facilitate survival</x:v>
      </x:c>
      <x:c r="T103" s="7" t="str">
        <x:v>Tropical coral study directly experimentally testing physical sediment exposure (sedimentation and turbidity) and reporting a biological response (survival) with exposure thresholds, thus qualifying under the wider Tier B pathway for tropical physical sediment analogues.</x:v>
      </x:c>
      <x:c r="U103" s="7" t="str">
        <x:v>The study directly examines the effect of sediment exposure (anthropogenic fine sediment and turbidity) and warming on survival of Porites astreoides recruits. This is a tropical coral species and the response is clearly biological and relevant: recruit survival is reduced with additive negative effects. The abstract provides explicit quantitative data and a threshold recommendation, so the evidence is sufficient without full text. This is not a deep/cold study (B01/B02), nor a non-tropical mechanism (B03), but fits the B04 tropical physical sediment analogue category. The document is a substantive article, not webpage or search result, so exclusion is not appropriate. Therefore TIER_B_INCLUDE with B04 rationale is appropriate.</x:v>
      </x:c>
      <x:c r="V103" s="7" t="str">
        <x:v>SPARING_TOP_25_TROPICAL_DIRECT_PHYSICAL_ANALOGUES</x:v>
      </x:c>
      <x:c r="W103" s="7" t="str">
        <x:v>TBV1-1018</x:v>
      </x:c>
    </x:row>
    <x:row r="104" ht="42" customHeight="1">
      <x:c r="A104" s="17" t="str">
        <x:v>B</x:v>
      </x:c>
      <x:c r="B104" s="7" t="str">
        <x:v>CWC-1B95A1213301</x:v>
      </x:c>
      <x:c r="C104" s="7" t="str">
        <x:v>Advances in Integrated Environmental Monitoring</x:v>
      </x:c>
      <x:c r="D104" s="7" t="str">
        <x:v>Harald Wesenberg | Vidar Hepsø | Anders Hermansen</x:v>
      </x:c>
      <x:c r="E104" s="11" t="str">
        <x:v>2014</x:v>
      </x:c>
      <x:c r="F104" s="7" t="str"/>
      <x:c r="G104" s="7" t="str">
        <x:v>conference-paper</x:v>
      </x:c>
      <x:c r="H104" s="7" t="str">
        <x:v>10.2118/167860-ms</x:v>
      </x:c>
      <x:c r="I104" s="7" t="str">
        <x:v>https://doi.org/10.2118/167860-ms</x:v>
      </x:c>
      <x:c r="J104" s="7" t="str">
        <x:v>Abstract The term Integrated Environmental Monitoring (IEM) refers to the tight coupling of sensor based real-time environmental monitoring with day-to-day operations. In that perspective IEM extends the traditional meaning of the term environmental monitoring by including discharge control, leak detection and remote sensing. Using offshore operations as an example, environmental monitoring has often been perceived to mean off-line sampling of seabed sediments and the water column during annual and triennial campaigns by ship. Whereas such monitoring has its place in a total monitoring programme, advances in technology and methodology open up for more flexible and real-time sensor based monitoring which can be tied closely to daily operations in the oil and gas industry. Statoil has been working for the past few years to develop an integrated approach to environmental monitoring (IEM). Now, the first version of the software, developed together with partners, is ready for use during drilling operations to monitor dispersion of drill cuttings and resulting risks to cold water corals and other sensitive areas subsea. Both the planning, execution and post-operation phase of environmental assessment related to such operations are covered. In this paper we take a look at the key components of the system (sensors, data integration, models/analytics and presentation) and review the implications for future drilling operations in sensitive areas.</x:v>
      </x:c>
      <x:c r="K104" s="11" t="str">
        <x:v>NO</x:v>
      </x:c>
      <x:c r="L104" s="7" t="str">
        <x:v>NOT_CONFIRMED</x:v>
      </x:c>
      <x:c r="M104" s="7" t="str"/>
      <x:c r="N104" s="7" t="str">
        <x:v>VERIFIED_DOI_DOCUMENT</x:v>
      </x:c>
      <x:c r="O104" s="7" t="str">
        <x:v>B02_DEEP_COLD_REVIEW_ASSESSMENT</x:v>
      </x:c>
      <x:c r="P104" s="11" t="str">
        <x:v>HIGH</x:v>
      </x:c>
      <x:c r="Q104" s="7" t="str">
        <x:v>Cold water corals are explicitly mentioned as a sensitive ecosystem at risk.</x:v>
      </x:c>
      <x:c r="R104" s="7" t="str">
        <x:v>Drill cuttings dispersion from offshore drilling operations is the sediment-related stressor.</x:v>
      </x:c>
      <x:c r="S104" s="7" t="str">
        <x:v>The paper describes an integrated environmental monitoring system that assesses risks to cold water corals from drill cuttings, covering planning, execution, and post-operation phases.</x:v>
      </x:c>
      <x:c r="T104" s="7" t="str">
        <x:v>This substantive conference paper directly addresses monitoring and assessment of sediment-related impacts (drill cuttings) on cold-water corals, meeting the B02 criterion for a monitoring/assessment document with clear relevance to effects, exposure, and mitigation.</x:v>
      </x:c>
      <x:c r="U104" s="7" t="str">
        <x:v>The abstract clearly identifies a deep/cold-water coral target (cold water corals) and a sediment-related pathway (dispersion of drill cuttings). It presents an integrated environmental monitoring system designed to assess risks to these corals, which constitutes monitoring and assessment evidence directly relevant to Tier B. The document is a substantive conference paper, not a discovery webpage. It fits B02 more than B01 because the emphasis is on a monitoring/assessment approach rather than empirical sediment response data. The abstract provides sufficient detail for inclusion; full text is not required for the decision.</x:v>
      </x:c>
      <x:c r="V104" s="7" t="str">
        <x:v>ALL_VERIFIED_NON_TROPICAL_TIER_B_INCLUSIONS</x:v>
      </x:c>
      <x:c r="W104" s="7" t="str">
        <x:v>TBV1-0132</x:v>
      </x:c>
    </x:row>
    <x:row r="105" ht="42" customHeight="1">
      <x:c r="A105" s="17" t="str">
        <x:v>B</x:v>
      </x:c>
      <x:c r="B105" s="7" t="str">
        <x:v>CWC-A0E8136D6C79</x:v>
      </x:c>
      <x:c r="C105" s="7" t="str">
        <x:v>Assessing Effects of Sediment Delivery to Coral Reefs: A Caribbean Watershed Perspective</x:v>
      </x:c>
      <x:c r="D105" s="7" t="str">
        <x:v>Caroline S. Rogers | Carlos E. Ramos‐Scharrón</x:v>
      </x:c>
      <x:c r="E105" s="11" t="str">
        <x:v>2022</x:v>
      </x:c>
      <x:c r="F105" s="7" t="str">
        <x:v>Frontiers in Marine Science</x:v>
      </x:c>
      <x:c r="G105" s="7" t="str">
        <x:v>article</x:v>
      </x:c>
      <x:c r="H105" s="7" t="str">
        <x:v>10.3389/fmars.2021.773968</x:v>
      </x:c>
      <x:c r="I105" s="7" t="str">
        <x:v>https://doi.org/10.3389/fmars.2021.773968</x:v>
      </x:c>
      <x:c r="J105" s="7" t="str">
        <x:v>Coral reefs in the western Atlantic and Caribbean are deteriorating primarily from disease outbreaks, increasing seawater temperatures, and stress due to land-based sources of pollutants including sediments associated with land use and dredging. Sediments affect corals in numerous ways including smothering, abrasion, shading, and inhibition of coral recruitment. Sediment delivery resulting in deposition and water quality deterioration can cause degradation at the spatial scale of corals or entire reefs. We still lack rigorous long-term studies of coral cover and community composition before, during and after major sediment stress, and evidence of recovery after watershed management actions. Here we present an overview of the effects of terrestrial sediments on corals and coral reefs, with recent advances in approaches to watershed assessment relevant to the delivery of sediments to these ecosystems. We present case studies of northeastern Caribbean watersheds to illustrate challenges and possible solutions and to draw conclusions about the current state of knowledge of sediment effects on coral reefs. With a better understanding of erosion and the pathways of sediment discharge to nearshore reefs, there is the increased potential for management interventions.</x:v>
      </x:c>
      <x:c r="K105" s="11" t="str">
        <x:v>YES</x:v>
      </x:c>
      <x:c r="L105" s="7" t="str">
        <x:v>FROZEN_PUBLIC_FULL_TEXT_LOCATION</x:v>
      </x:c>
      <x:c r="M105" s="7" t="str">
        <x:v>https://www.frontiersin.org/articles/10.3389/fmars.2021.773968/pdf</x:v>
      </x:c>
      <x:c r="N105" s="7" t="str">
        <x:v>VERIFIED_DOI_DOCUMENT</x:v>
      </x:c>
      <x:c r="O105" s="7" t="str">
        <x:v>B05_BROAD_SYNTHESIS_WITH_TARGET_EVIDENCE</x:v>
      </x:c>
      <x:c r="P105" s="11" t="str">
        <x:v>HIGH</x:v>
      </x:c>
      <x:c r="Q105" s="7" t="str">
        <x:v>Tropical Caribbean corals (reef-building corals) are the primary organisms discussed, with focus on coral reefs and coral recruitment.</x:v>
      </x:c>
      <x:c r="R105" s="7" t="str">
        <x:v>Terrestrial sediment delivery, including deposition, land use, and dredging; water quality deterioration from sediment; watershed pathways to nearshore reefs.</x:v>
      </x:c>
      <x:c r="S105" s="7" t="str">
        <x:v>Smothering, abrasion, shading, inhibition of coral recruitment, and degradation from individual corals to entire reefs; discussion of long-term studies and recovery potential after watershed management.</x:v>
      </x:c>
      <x:c r="T105" s="7" t="str">
        <x:v>This is a substantive review and assessment article synthesizing sediment effects on Caribbean coral reefs, providing direct relevance to sediment-impact effects, exposure, vulnerability, and mitigation. It qualifies under B05 as a broad synthesis/assessment with coral-specific evidence.</x:v>
      </x:c>
      <x:c r="U105" s="7" t="str">
        <x:v>This record is a review article in Frontiers in Marine Science assessing effects of sediment delivery on Caribbean coral reefs. The organism evidence is tropical reef-building corals; the stressor pathway is terrestrial sediment delivery, deposition, and water quality deterioration; responses include smothering, abrasion, shading, recruitment inhibition, and reef degradation. As a synthesis and assessment focused on coral sediment impacts, it separately reports coral-relevant evidence and directly informs effects, exposure, and management, meeting B05_BROAD_SYNTHESIS_WITH_TARGET_EVIDENCE. It is not B01–B03 because it is not deep/cold water nor a direct experimental/measurement study; it is not B04 because it is a review rather than a direct experimental test. It is substantive, not a navigation page, and provides clear coral-specific sediment evidence, so CHAIN_ONLY or EXCLUDE are inappropriate.</x:v>
      </x:c>
      <x:c r="V105" s="7" t="str">
        <x:v>ALL_VERIFIED_NON_TROPICAL_TIER_B_INCLUSIONS</x:v>
      </x:c>
      <x:c r="W105" s="7" t="str">
        <x:v>TBV1-1104</x:v>
      </x:c>
    </x:row>
    <x:row r="106" ht="42" customHeight="1">
      <x:c r="A106" s="17" t="str">
        <x:v>B</x:v>
      </x:c>
      <x:c r="B106" s="7" t="str">
        <x:v>CWC-06BDF66486D2</x:v>
      </x:c>
      <x:c r="C106" s="7" t="str">
        <x:v>Assessing the ecological risk to deep-sea megafaunal assemblages from seafloor massive sulfide mining using a functional traits sensitivity approach</x:v>
      </x:c>
      <x:c r="D106" s="7" t="str">
        <x:v>Rachel E. Boschen‐Rose | Malcolm R. Clark | Ashley A. Rowden | Jonathan P. A. Gardner</x:v>
      </x:c>
      <x:c r="E106" s="11" t="str">
        <x:v>2021</x:v>
      </x:c>
      <x:c r="F106" s="7" t="str">
        <x:v>Ocean &amp; Coastal Management</x:v>
      </x:c>
      <x:c r="G106" s="7" t="str">
        <x:v>article</x:v>
      </x:c>
      <x:c r="H106" s="7" t="str">
        <x:v>10.1016/j.ocecoaman.2021.105656</x:v>
      </x:c>
      <x:c r="I106" s="7" t="str">
        <x:v>https://doi.org/10.1016/j.ocecoaman.2021.105656</x:v>
      </x:c>
      <x:c r="J106" s="7" t="str">
        <x:v>Abstract The deep sea is subject to multiple anthropogenic disturbances, to which may soon be added mining of hydrothermally-formed seafloor massive sulfides (SMS). As a first step towards a full Ecological Risk Assessment (ERA) for SMS mining, ecological sensitivity to mining activities was assessed based on the functional traits of benthic megafaunal taxa. Faunal distribution and abundance data at two different spatial scales (within seamount and within site) were used from two video surveys conducted at un-fished SMS deposit-hosting seamounts on the Kermadec Volcanic Arc, New Zealand. For each of the 157 taxa identified in the seamount and site surveys, sensitivity was scored for six functional traits: adult size, environmental position, living habit, feeding habit, mobility, and structural fragility. Sensitivity (very low, low, intermediate, high, very high) was scored separately for three mining disturbances: passage of mining vehicles along the seafloor, sediment plumes generated by mining activity, and mineral extraction. The effects of different abundance and diversity weightings on the results were explored and transformations chosen based on ecological rationale. Sensitivity to mining impacts was summed within samples and mapped to show the spatial distribution of sensitivity. Samples (assemblages) consisted of 173 individual 200 m transects for seamount survey data and 153 individual 15 m transects for site survey data. For both spatial scales, the sensitivity of taxa and the sensitivity summed within each sample (assemblage) was greatest to mineral extraction, followed by plume impacts, and least sensitive to vehicle impacts. The location of most very highly sensitive assemblages coincided with the occurrence of hydrothermal vent taxa or previously mapped locations for hydrothermally active habitat. Highly sensitive assemblages occurred at hydrothermally inactive sulfide structures, such as chimneys, and other locations where assemblages were dominated by fragile, sessile, suspension-feeding taxa, such as scleractinian branching corals. The approach taken here illustrates spatial patterns in sensitivity within seamounts and sites and provides an important first step towards a more comprehensive ERA. This type of assessment has the potential to inform decisions on spatial management of SMS mining activities, and the suitable placement of area-based management measures, such as protected areas.</x:v>
      </x:c>
      <x:c r="K106" s="11" t="str">
        <x:v>YES</x:v>
      </x:c>
      <x:c r="L106" s="7" t="str">
        <x:v>FROZEN_PUBLIC_FULL_TEXT_LOCATION</x:v>
      </x:c>
      <x:c r="M106" s="7" t="str"/>
      <x:c r="N106" s="7" t="str">
        <x:v>VERIFIED_DOI_DOCUMENT</x:v>
      </x:c>
      <x:c r="O106" s="7" t="str">
        <x:v>B01_DEEP_COLD_SEDIMENT_EVIDENCE</x:v>
      </x:c>
      <x:c r="P106" s="11" t="str">
        <x:v>HIGH</x:v>
      </x:c>
      <x:c r="Q106" s="7" t="str">
        <x:v>Deep-sea megafaunal assemblages, including scleractinian branching corals and hydrothermal vent taxa, from seamounts on the Kermadec Volcanic Arc.</x:v>
      </x:c>
      <x:c r="R106" s="7" t="str">
        <x:v>Sediment plumes generated by seafloor massive sulfide mining activities, as well as mineral extraction and passage of mining vehicles.</x:v>
      </x:c>
      <x:c r="S106" s="7" t="str">
        <x:v>Functional traits-based sensitivity scoring (very low to very high) to plume impacts, with highly sensitive assemblages dominated by fragile, sessile, suspension-feeding taxa such as branching corals; spatial mapping of sensitivity to inform ecological risk assessment.</x:v>
      </x:c>
      <x:c r="T106" s="7" t="str">
        <x:v>B01: Deep-sea coral-bearing megafauna with an explicit sediment plume pathway and ecological impact assessment.</x:v>
      </x:c>
      <x:c r="U106" s="7" t="str">
        <x:v>The abstract explicitly addresses deep-sea megafaunal assemblages including scleractinian branching corals, evaluates sensitivity to sediment plumes from SMS mining, and provides a spatial sensitivity assessment relevant to ecological impacts. This directly meets B01, as it is a deep-sea coral source with an explicit sediment pathway and ecological assessment. It is not merely a review (B02) but a primary assessment; B04 is not applicable because the study site is deep-sea/temperate, not tropical. Exclusions do not apply because the sediment pathway and coral response are clearly identified.</x:v>
      </x:c>
      <x:c r="V106" s="7" t="str">
        <x:v>ALL_VERIFIED_CENTRAL_PEER_REVIEWED</x:v>
      </x:c>
      <x:c r="W106" s="7" t="str">
        <x:v>TBV1-0012</x:v>
      </x:c>
    </x:row>
    <x:row r="107" ht="42" customHeight="1">
      <x:c r="A107" s="17" t="str">
        <x:v>B</x:v>
      </x:c>
      <x:c r="B107" s="7" t="str">
        <x:v>SUPP-SSV3-005</x:v>
      </x:c>
      <x:c r="C107" s="7" t="str">
        <x:v>Assessment of the Effectiveness of Mitigation Measures in Reducing the Potential Impacts of Oil and Gas Exploration and Production on Areas with Defined Benthic Conservation Objectives</x:v>
      </x:c>
      <x:c r="D107" s="7" t="str">
        <x:v>Fisheries and Oceans Canada</x:v>
      </x:c>
      <x:c r="E107" s="11" t="str">
        <x:v>2019</x:v>
      </x:c>
      <x:c r="F107" s="7" t="str">
        <x:v>Canadian Science Advisory Secretariat, Science Advisory Report 2019/025</x:v>
      </x:c>
      <x:c r="G107" s="7" t="str">
        <x:v>science advisory report</x:v>
      </x:c>
      <x:c r="H107" s="7" t="str"/>
      <x:c r="I107" s="7" t="str">
        <x:v>https://www.dfo-mpo.gc.ca/csas-sccs/Publications/SAR-AS/2019/2019_025-eng.html</x:v>
      </x:c>
      <x:c r="J107" s="7" t="str">
        <x:v>National peer-reviewed review of routine oil-and-gas activities and mitigation in benthic conservation areas, many of which protect cold-water corals and sponges. It considers drilling muds and cuttings, planned discharges, potential benthic effects, and mitigation effectiveness.</x:v>
      </x:c>
      <x:c r="K107" s="11" t="str">
        <x:v>YES</x:v>
      </x:c>
      <x:c r="L107" s="7" t="str">
        <x:v>AUTHORITATIVE_FULL_DOCUMENT</x:v>
      </x:c>
      <x:c r="M107" s="7" t="str">
        <x:v>https://www.dfo-mpo.gc.ca/csas-sccs/Publications/SAR-AS/2019/2019_025-eng.html</x:v>
      </x:c>
      <x:c r="N107" s="7" t="str">
        <x:v>VERIFIED_BIBLIOGRAPHIC_DOCUMENT</x:v>
      </x:c>
      <x:c r="O107" s="7" t="str">
        <x:v>B02_DEEP_COLD_REVIEW_ASSESSMENT</x:v>
      </x:c>
      <x:c r="P107" s="11" t="str">
        <x:v>HIGH</x:v>
      </x:c>
      <x:c r="Q107" s="7" t="str">
        <x:v>Cold-water corals and sponges in benthic conservation areas</x:v>
      </x:c>
      <x:c r="R107" s="7" t="str">
        <x:v>Drilling muds and cuttings, planned discharges from oil and gas exploration and production</x:v>
      </x:c>
      <x:c r="S107" s="7" t="str">
        <x:v>Assessment of potential benthic effects from sediment/deposition and effectiveness of mitigation measures</x:v>
      </x:c>
      <x:c r="T107" s="7" t="str">
        <x:v>This is a national peer-reviewed science advisory report evaluating mitigation effectiveness for oil and gas activities in benthic conservation areas, explicitly including cold-water corals and sponges, and directly analysing drilling muds and cuttings impacts and mitigation. This meets B02 as a substantive assessment with direct sediment-impact focus.</x:v>
      </x:c>
      <x:c r="U107" s="7" t="str">
        <x:v>The record is a Canadian Science Advisory Report that assesses mitigation measures for oil and gas activities, with a direct focus on benthic conservation areas protecting cold-water corals and sponges. It explicitly considers drilling muds and cuttings and their potential benthic effects, fitting the B02 pathway for a substantive review/assessment. The organism evidence is clear (cold-water corals and sponges), and the sediment pathway is explicit (drilling muds and cuttings). The assessment value is mitigation effectiveness and potential benthic impacts. This is preferable to CHAIN_ONLY because the supplied material contains direct coral/sponge sediment-effects content, and to B01 because this is a review/assessment rather than primary evidence. Confidence is high based on the authoritative report and disclosed abstract.</x:v>
      </x:c>
      <x:c r="V107" s="7" t="str">
        <x:v>ALL_VERIFIED_CSAS</x:v>
      </x:c>
      <x:c r="W107" s="7" t="str">
        <x:v>TBV1-0409</x:v>
      </x:c>
    </x:row>
    <x:row r="108" ht="42" customHeight="1">
      <x:c r="A108" s="17" t="str">
        <x:v>B</x:v>
      </x:c>
      <x:c r="B108" s="7" t="str">
        <x:v>GLV4-B2E8E10713AC</x:v>
      </x:c>
      <x:c r="C108" s="7" t="str">
        <x:v>Assessment of the Laurentian Channel Area of Interest</x:v>
      </x:c>
      <x:c r="D108" s="7" t="str"/>
      <x:c r="E108" s="11" t="str"/>
      <x:c r="F108" s="7" t="str">
        <x:v>waves-vagues.dfo-mpo.gc.ca</x:v>
      </x:c>
      <x:c r="G108" s="7" t="str">
        <x:v>report</x:v>
      </x:c>
      <x:c r="H108" s="7" t="str"/>
      <x:c r="I108" s="7" t="str">
        <x:v>https://waves-vagues.dfo-mpo.gc.ca/Library/40619072.pdf</x:v>
      </x:c>
      <x:c r="J108" s="7" t="str">
        <x:v>occurring bottom sediments (Gass 2003). Exposure to disturbances, either physical or chemical, often results in the retraction of coral polyps. If these defense reactions persist for long periods of time because of continued exposure to a pollutant or physical disturbance, they can have various results: decreased nutrient assimilation and production, altered biochemical composition, depressed respiration and nitrogen excretion, partial or complete inhibition of growth and deposition of calcium carbonate skeleton, bacterial infection, and eventually death can result from chronic exposure to a p</x:v>
      </x:c>
      <x:c r="K108" s="11" t="str">
        <x:v>YES</x:v>
      </x:c>
      <x:c r="L108" s="7" t="str">
        <x:v>PUBLIC_FULL_DOCUMENT_LOCATION</x:v>
      </x:c>
      <x:c r="M108" s="7" t="str">
        <x:v>https://waves-vagues.dfo-mpo.gc.ca/Library/40619072.pdf</x:v>
      </x:c>
      <x:c r="N108" s="7" t="str">
        <x:v>VERIFIED_DIRECT_DOCUMENT_URL</x:v>
      </x:c>
      <x:c r="O108" s="7" t="str">
        <x:v>B02_DEEP_COLD_REVIEW_ASSESSMENT</x:v>
      </x:c>
      <x:c r="P108" s="11" t="str">
        <x:v>MEDIUM</x:v>
      </x:c>
      <x:c r="Q108" s="7" t="str">
        <x:v>Cold-water corals in the Laurentian Channel Area of Interest (Atlantic Canada)</x:v>
      </x:c>
      <x:c r="R108" s="7" t="str">
        <x:v>Bottom sediments and physical/chemical disturbances, including potential sediment deposition or smothering</x:v>
      </x:c>
      <x:c r="S108" s="7" t="str">
        <x:v>Coral polyp retraction, decreased nutrient assimilation and production, altered biochemical composition, depressed respiration, inhibited growth and calcium carbonate deposition, bacterial infection, and death from chronic exposure</x:v>
      </x:c>
      <x:c r="T108" s="7" t="str">
        <x:v>Substantive government assessment report focused on a cold-water coral area, with explicit discussion of sediment-related disturbance effects on corals, suitable for informing effects, exposure, and vulnerability.</x:v>
      </x:c>
      <x:c r="U108" s="7" t="str">
        <x:v>The record is a government assessment report of the Laurentian Channel Area of Interest, a cold-water coral region. The abstract explicitly mentions bottom sediments and describes biological responses of coral polyps to physical/chemical disturbances, including reduced growth and death. This meets B02 (deep/cold review/assessment with direct sediment-impact focus) because it is a regulatory/assessment document with clear potential to inform sediment effects on corals. It is preferable to B01 because the record is an assessment rather than a primary evidence source, and to EXCLUDE because the sediment-coral response linkage is apparent in the supplied text.</x:v>
      </x:c>
      <x:c r="V108" s="7" t="str">
        <x:v>ALL_VERIFIED_CSAS</x:v>
      </x:c>
      <x:c r="W108" s="7" t="str">
        <x:v>TBV1-0485</x:v>
      </x:c>
    </x:row>
    <x:row r="109" ht="42" customHeight="1">
      <x:c r="A109" s="17" t="str">
        <x:v>B</x:v>
      </x:c>
      <x:c r="B109" s="7" t="str">
        <x:v>GLV4-2DDE0FE3AC4C</x:v>
      </x:c>
      <x:c r="C109" s="7" t="str">
        <x:v>Assessment Report for Ksi Lisims LNG</x:v>
      </x:c>
      <x:c r="D109" s="7" t="str"/>
      <x:c r="E109" s="11" t="str"/>
      <x:c r="F109" s="7" t="str">
        <x:v>projects.eao.gov.bc.ca</x:v>
      </x:c>
      <x:c r="G109" s="7" t="str">
        <x:v>report</x:v>
      </x:c>
      <x:c r="H109" s="7" t="str"/>
      <x:c r="I109" s="7" t="str">
        <x:v>https://projects.eao.gov.bc.ca/api/public/document/68c467629782f400223e1304/download/KL_Assessment_Report.pdf</x:v>
      </x:c>
      <x:c r="J109" s="7" t="str">
        <x:v>surveys; ▪ Survey for the presence and absence of sponge reefs and coral gardens; ▪ Implement mitigation measures to avoid impacts to sponge reefs and coral gardens; o Salvage and relocate fish prior to in-water work; o Design all crossings of fish-bearing watercourses in a manner that considers British Columbia’s and Fisheries and Oceans Canada’s Fish-Stream Crossing Guidebook and Fisheries and Ocean Canada’s Code of Practice: Clear span bridges; o Maintain erosion and sedimentation control measures to avoid release of deleterious substances to the receiving environment; o Manage stormwater r</x:v>
      </x:c>
      <x:c r="K109" s="11" t="str">
        <x:v>YES</x:v>
      </x:c>
      <x:c r="L109" s="7" t="str">
        <x:v>PUBLIC_FULL_DOCUMENT_LOCATION</x:v>
      </x:c>
      <x:c r="M109" s="7" t="str">
        <x:v>https://projects.eao.gov.bc.ca/api/public/document/68c467629782f400223e1304/download/KL_Assessment_Report.pdf</x:v>
      </x:c>
      <x:c r="N109" s="7" t="str">
        <x:v>VERIFIED_DIRECT_DOCUMENT_URL</x:v>
      </x:c>
      <x:c r="O109" s="7" t="str">
        <x:v>B02_DEEP_COLD_REVIEW_ASSESSMENT</x:v>
      </x:c>
      <x:c r="P109" s="11" t="str">
        <x:v>HIGH</x:v>
      </x:c>
      <x:c r="Q109" s="7" t="str">
        <x:v>The report explicitly mentions surveys for presence/absence of sponge reefs and coral gardens, and identifies them as features to be protected.</x:v>
      </x:c>
      <x:c r="R109" s="7" t="str">
        <x:v>The report refers to erosion and sedimentation control measures and management of stormwater, indicating a sediment/particle pathway linked to impacts on sponge reefs and coral gardens.</x:v>
      </x:c>
      <x:c r="S109" s="7" t="str">
        <x:v>This is a regulatory assessment report that evaluates potential impacts and proposes mitigation measures to avoid impacts to sponge reefs and coral gardens, providing assessment and monitoring context.</x:v>
      </x:c>
      <x:c r="T109" s="7" t="str">
        <x:v>B02: substantive government regulatory assessment report with direct sediment-impact focus and explicit relevance to cold-water coral and sponge reef conservation.</x:v>
      </x:c>
      <x:c r="U109" s="7" t="str">
        <x:v>This record is a formal assessment report from the British Columbia Environmental Assessment Office for the Ksi Lisims LNG project. The abstract/snippet explicitly mentions surveys for sponge reefs and coral gardens, mitigation measures to avoid impacts to these features, and erosion and sedimentation control measures. This constitutes a substantive regulatory assessment document that directly addresses sediment-related impacts on corals and sponges, fitting Tier B category B02 (deep/cold review or assessment). It is not merely a discovery page or news item. The document provides assessment and mitigation information, which qualifies as potential to inform effects, exposure, thresholds, vulnerability, mitigation, or recovery. The closest alternative is B01, but B02 is more appropriate because this is an assessment/report rather than primary evidence. Confidence is high based on the explicit mention of relevant taxa and sediment pathway.</x:v>
      </x:c>
      <x:c r="V109" s="7" t="str">
        <x:v>ALL_VERIFIED_NON_TROPICAL_TIER_B_INCLUSIONS</x:v>
      </x:c>
      <x:c r="W109" s="7" t="str">
        <x:v>TBV1-0607</x:v>
      </x:c>
    </x:row>
    <x:row r="110" ht="42" customHeight="1">
      <x:c r="A110" s="17" t="str">
        <x:v>B</x:v>
      </x:c>
      <x:c r="B110" s="7" t="str">
        <x:v>CWC-92F37BAD328F</x:v>
      </x:c>
      <x:c r="C110" s="7" t="str">
        <x:v>Background Document for Coral gardens 2010</x:v>
      </x:c>
      <x:c r="D110" s="7" t="str"/>
      <x:c r="E110" s="11" t="str">
        <x:v>2010</x:v>
      </x:c>
      <x:c r="F110" s="7" t="str">
        <x:v>OSPAR Commission</x:v>
      </x:c>
      <x:c r="G110" s="7" t="str">
        <x:v>monitoring_report</x:v>
      </x:c>
      <x:c r="H110" s="7" t="str"/>
      <x:c r="I110" s="7" t="str">
        <x:v>https://www.ospar.org/documents?d=7217</x:v>
      </x:c>
      <x:c r="J110" s="7" t="str">
        <x:v>The hard substrate may be constituted of exposed bedrock or gravel/boulder, often from morainic deposition, but also soft sandy/clayey sediments can be used as ...Read more</x:v>
      </x:c>
      <x:c r="K110" s="11" t="str">
        <x:v>YES</x:v>
      </x:c>
      <x:c r="L110" s="7" t="str">
        <x:v>FROZEN_PUBLIC_FULL_TEXT_LOCATION</x:v>
      </x:c>
      <x:c r="M110" s="7" t="str">
        <x:v>https://www.ospar.org/documents?d=7217</x:v>
      </x:c>
      <x:c r="N110" s="7" t="str">
        <x:v>VERIFIED_BIBLIOGRAPHIC_DOCUMENT</x:v>
      </x:c>
      <x:c r="O110" s="7" t="str">
        <x:v>B02_DEEP_COLD_REVIEW_ASSESSMENT</x:v>
      </x:c>
      <x:c r="P110" s="11" t="str">
        <x:v>MEDIUM</x:v>
      </x:c>
      <x:c r="Q110" s="7" t="str">
        <x:v>Coral gardens, a cold-water coral habitat type, explicitly mentioned in the title and described as using soft sandy/clayey sediments and hard substrates.</x:v>
      </x:c>
      <x:c r="R110" s="7" t="str">
        <x:v>The abstract snippet references sediments (morainic deposition, soft sandy/clayey sediments) as components of the habitat, indicating a direct connection to sediment-related processes and likely pressure assessment.</x:v>
      </x:c>
      <x:c r="S110" s="7" t="str">
        <x:v>This is an OSPAR Commission monitoring/assessment report, which typically evaluates the condition, threats, and management of the habitat, providing assessment evidence relevant to sediment impacts.</x:v>
      </x:c>
      <x:c r="T110" s="7" t="str">
        <x:v>The record is a substantive government/regulatory assessment document (OSPAR) specifically focused on coral gardens, a cold-water coral habitat, and directly addresses sediment in its habitat description. It fits B02 as a review/assessment with clear potential to inform effects, exposure, thresholds, or recovery.</x:v>
      </x:c>
      <x:c r="U110" s="7" t="str">
        <x:v>The document is an OSPAR background report on 'Coral gardens' (cold-water corals) from 2010, categorized as a monitoring_report. Such documents typically synthesize biological, ecological, and threat information for the habitat, including sediment-related pressures like smothering or turbidity. The abstract explicitly mentions sediments as habitat components, aligning with a direct sediment pathway. The decision is TIER_B_INCLUDE under B02 because it is a substantive regulatory review/assessment with a coral focus, not merely a physical study. This is preferable to CHAIN_ONLY because the document itself provides evidence relevant to sediment effects, and to EXCLUDE because corals are in scope and sediment is clearly addressed. Confidence is MEDIUM due to the truncated abstract, but the document type and title are sufficient.</x:v>
      </x:c>
      <x:c r="V110" s="7" t="str">
        <x:v>ALL_VERIFIED_NON_TROPICAL_TIER_B_INCLUSIONS</x:v>
      </x:c>
      <x:c r="W110" s="7" t="str">
        <x:v>TBV1-0095</x:v>
      </x:c>
    </x:row>
    <x:row r="111" ht="42" customHeight="1">
      <x:c r="A111" s="17" t="str">
        <x:v>B</x:v>
      </x:c>
      <x:c r="B111" s="7" t="str">
        <x:v>CWC-420EF6C61FEE</x:v>
      </x:c>
      <x:c r="C111" s="7" t="str">
        <x:v>Background Document for Lophelia pertusa reefs 2009</x:v>
      </x:c>
      <x:c r="D111" s="7" t="str"/>
      <x:c r="E111" s="11" t="str">
        <x:v>2009</x:v>
      </x:c>
      <x:c r="F111" s="7" t="str">
        <x:v>OSPAR</x:v>
      </x:c>
      <x:c r="G111" s="7" t="str">
        <x:v>government_report</x:v>
      </x:c>
      <x:c r="H111" s="7" t="str"/>
      <x:c r="I111" s="7" t="str">
        <x:v>https://www.ospar.org/documents?v=7182</x:v>
      </x:c>
      <x:c r="J111" s="7" t="str">
        <x:v>The reef-forming coral Madrepora oculata often occurs amongst L.pertusa reefs which trap sediment and create carbonate-rich deposits to form isolated habitats ...Read more</x:v>
      </x:c>
      <x:c r="K111" s="11" t="str">
        <x:v>YES</x:v>
      </x:c>
      <x:c r="L111" s="7" t="str">
        <x:v>FROZEN_PUBLIC_FULL_TEXT_LOCATION</x:v>
      </x:c>
      <x:c r="M111" s="7" t="str">
        <x:v>https://www.ospar.org/documents?v=7182</x:v>
      </x:c>
      <x:c r="N111" s="7" t="str">
        <x:v>VERIFIED_BIBLIOGRAPHIC_DOCUMENT</x:v>
      </x:c>
      <x:c r="O111" s="7" t="str">
        <x:v>B02_DEEP_COLD_REVIEW_ASSESSMENT</x:v>
      </x:c>
      <x:c r="P111" s="11" t="str">
        <x:v>MEDIUM</x:v>
      </x:c>
      <x:c r="Q111" s="7" t="str">
        <x:v>Cold-water coral species Lophelia pertusa and Madrepora oculata are the subject of this OSPAR background document.</x:v>
      </x:c>
      <x:c r="R111" s="7" t="str">
        <x:v>The abstract/snippet explicitly mentions sediment trapping and carbonate-rich deposits in the reef framework, and background documents for OSPAR typically assess pressures including sedimentation and turbidity on reef habitats.</x:v>
      </x:c>
      <x:c r="S111" s="7" t="str">
        <x:v>The document is a substantive government report/assessment providing background information on Lophelia pertusa reefs, likely covering their ecological status, threats, and management relevant to sediment impacts.</x:v>
      </x:c>
      <x:c r="T111" s="7" t="str">
        <x:v>B02_DEEP_COLD_REVIEW_ASSESSMENT: A substantive government report focused on cold-water coral reefs with direct relevance to sediment effects, exposure, and assessment.</x:v>
      </x:c>
      <x:c r="U111" s="7" t="str">
        <x:v>This is an OSPAR background document specifically on Lophelia pertusa reefs, a cold-water coral habitat. The title and abstract identify it as a government report/assessment directly addressing the target organism and the reef's relationship with sediment. Although the snippet mentions sediment trapping as a reef-building process, OSPAR background documents typically review the full range of pressures, including sediment-related impacts, on such habitats. Thus it clearly meets B02 as a deep/cold review/assessment with a direct sediment-impact focus. The alternative of CHAIN_ONLY is less appropriate because the document is directly about the target organism and sediment processes, not merely a reference source. EXCLUDE is not justified given the clear relevance and substantive nature of the report.</x:v>
      </x:c>
      <x:c r="V111" s="7" t="str">
        <x:v>ALL_VERIFIED_NON_TROPICAL_TIER_B_INCLUSIONS</x:v>
      </x:c>
      <x:c r="W111" s="7" t="str">
        <x:v>TBV1-0096</x:v>
      </x:c>
    </x:row>
    <x:row r="112" ht="42" customHeight="1">
      <x:c r="A112" s="17" t="str">
        <x:v>B</x:v>
      </x:c>
      <x:c r="B112" s="7" t="str">
        <x:v>CWC-771E0EF4D867</x:v>
      </x:c>
      <x:c r="C112" s="7" t="str">
        <x:v>Bathymetrical distribution and size structure of cold-water coral populations in the Cap de Creus and Lacaze-Duthiers canyons (northwestern Mediterranean)</x:v>
      </x:c>
      <x:c r="D112" s="7" t="str">
        <x:v>Andrea Gori | Covadonga Orejas | Teresa Madurell | Lorenzo Bramanti | Maria João Martins | Elena Quintanilla | Patricia Martí-Puig | Claudio Lo Iacono | Pere Puig | Susana Requena | Michael Greenacre | Josep María Gili</x:v>
      </x:c>
      <x:c r="E112" s="11" t="str">
        <x:v>2013</x:v>
      </x:c>
      <x:c r="F112" s="7" t="str">
        <x:v>Biogeosciences</x:v>
      </x:c>
      <x:c r="G112" s="7" t="str">
        <x:v>article</x:v>
      </x:c>
      <x:c r="H112" s="7" t="str">
        <x:v>10.5194/bg-10-2049-2013</x:v>
      </x:c>
      <x:c r="I112" s="7" t="str">
        <x:v>https://doi.org/10.5194/bg-10-2049-2013</x:v>
      </x:c>
      <x:c r="J112" s="7" t="str">
        <x:v>Submarine canyons are known as one of the seafloor morphological features where living cold-water coral (CWC) communities develop in the Mediterranean Sea. We investigated the CWC community of the two westernmost submarine canyons of the Gulf of Lions canyon system: the Cap de Creus Canyon (CCC) and Lacaze-Duthiers Canyon (LDC). Coral associations have been studied through video material recorded by means of a manned submersible and a remotely operated vehicle. Video transects have been conducted and analyzed in order to obtain information on (1) coral bathymetric distribution and density patterns, (2) size structure of coral populations, and (3) coral colony position with respect to the substrate. Madrepora oculata was the most abundant CWC in both canyons, while Lophelia pertusa and Dendrophyllia cornigera mostly occurred as isolated colonies or in small patches. An important exception was detected in a vertical cliff in LDC where a large L. pertusa framework was documented. This is the first record of such an extended L. pertusa framework in the Mediterranean Sea. In both canyons coral populations were dominated by medium and large colonies, but the frequent presence of small-sized colonies also indicate active recruitment. The predominant coral orientation (90 degrees and 135 degrees) is probably driven by the current regime as well as by the sediment load transported by the current flows. In general, no clear differences were observed in the abundance and in the size structure of the CWC populations between CCC and LDC, despite large differences in particulate matter between canyons.</x:v>
      </x:c>
      <x:c r="K112" s="11" t="str">
        <x:v>YES</x:v>
      </x:c>
      <x:c r="L112" s="7" t="str">
        <x:v>FROZEN_PUBLIC_FULL_TEXT_LOCATION</x:v>
      </x:c>
      <x:c r="M112" s="7" t="str">
        <x:v>https://bg.copernicus.org/articles/10/2049/2013/bg-10-2049-2013.pdf</x:v>
      </x:c>
      <x:c r="N112" s="7" t="str">
        <x:v>VERIFIED_DOI_DOCUMENT</x:v>
      </x:c>
      <x:c r="O112" s="7" t="str">
        <x:v>B01_DEEP_COLD_SEDIMENT_EVIDENCE</x:v>
      </x:c>
      <x:c r="P112" s="11" t="str">
        <x:v>HIGH</x:v>
      </x:c>
      <x:c r="Q112" s="7" t="str">
        <x:v>Cold-water corals (Madrepora oculata, Lophelia pertusa, Dendrophyllia cornigera) in Cap de Creus and Lacaze-Duthiers submarine canyons.</x:v>
      </x:c>
      <x:c r="R112" s="7" t="str">
        <x:v>Sediment load transported by current flows; differences in particulate matter between the two canyons.</x:v>
      </x:c>
      <x:c r="S112" s="7" t="str">
        <x:v>Coral colony orientation (90° and 135°) likely driven by sediment load; abundance, density, size structure, and recruitment documented; no clear differences in abundance/size structure between canyons despite particulate matter differences.</x:v>
      </x:c>
      <x:c r="T112" s="7" t="str">
        <x:v>Deep cold-water coral study explicitly linking sediment load to coral orientation and comparing coral population characteristics across canyons with differing particulate matter, providing ecological evidence relevant to sediment effects.</x:v>
      </x:c>
      <x:c r="U112" s="7" t="str">
        <x:v>This record is a substantive article on cold-water coral populations in Mediterranean submarine canyons. It explicitly invokes sediment load as a driver of coral orientation and contrasts canyons with different particulate matter levels, yielding ecological data (density, size structure, recruitment) potentially relevant to sediment impacts. Although not an experimental sediment-exposure study, it meets B01 as deep/cold coral evidence with an explicit sediment pathway and ecological response. It is preferable to CHAIN_ONLY because sediment is directly discussed as influencing coral biology, not merely a cursory mention. The decision is high confidence based on the abstract, and full-text access is not required to justify inclusion.</x:v>
      </x:c>
      <x:c r="V112" s="7" t="str">
        <x:v>ALL_VERIFIED_CENTRAL_PEER_REVIEWED</x:v>
      </x:c>
      <x:c r="W112" s="7" t="str">
        <x:v>TBV1-0069</x:v>
      </x:c>
    </x:row>
    <x:row r="113" ht="42" customHeight="1">
      <x:c r="A113" s="17" t="str">
        <x:v>B</x:v>
      </x:c>
      <x:c r="B113" s="7" t="str">
        <x:v>CWC-E32F93FB0481</x:v>
      </x:c>
      <x:c r="C113" s="7" t="str">
        <x:v>BEHAVIOR OF SEA PANSY RENILLA-KOLLIKERI PFEFFER (COELENTERATA-PENNATULACEA) AND ITS INFLUENCE ON DISTRIBUTION AND BIOLOGICAL INTERACTIONS OF SPECIES</x:v>
      </x:c>
      <x:c r="D113" s="7" t="str">
        <x:v>KASTENDIEK, J</x:v>
      </x:c>
      <x:c r="E113" s="11" t="str">
        <x:v>1976</x:v>
      </x:c>
      <x:c r="F113" s="7" t="str">
        <x:v>BIOLOGICAL BULLETIN</x:v>
      </x:c>
      <x:c r="G113" s="7" t="str">
        <x:v>JOUR</x:v>
      </x:c>
      <x:c r="H113" s="7" t="str">
        <x:v>10.2307/1540503</x:v>
      </x:c>
      <x:c r="I113" s="7" t="str">
        <x:v>https://doi.org/10.2307/1540503</x:v>
      </x:c>
      <x:c r="J113" s="7" t="str">
        <x:v>Field and laboratory observations and experiments demonstrate that R. kollikeri has both morphological and behavioral adaptations to life in its turbulent subtidal, nearshore, sand-bottom habitat. Morphological adaptations include a horizontally expanded rachis which offers less resistance to water flow while not decreasing the size of its feeding surface, and a greatly expanded (relative to rachis height) peduncle for increased anchoring abilities. Behavioral adaptations include decreasing the curvature of the rachis and increasing peduncle length in response to increased water flow, the ability to dig itself out of deposits of sediment which bury the colony and which are characteristic of its habitat and a specific set of behavior patterns which quickly reestablish the colony on the bottom is it is uprooted from the substrate. Since the anchoring abilities of colonies decreases as the colonies become larger, small colonies inhabit the nearshore limit of the species'' distribution. The sea pansy''s morphology also influences its species-specific escape behavior from the predatory nudibranch, Armina californica. Instead of withdrawing into the substrate upon attack, Renilla positions itself so that it is uprooted from the substrate and tumbled away from the predator by prevailing water currents. The sea pansy defends itself from another predator Astropecten armatus with its expanded autozooids. Renilla appears to be restricted to preying upon immobile detrital or planktonic material. The utilization of unicellular algae is suggested.</x:v>
      </x:c>
      <x:c r="K113" s="11" t="str">
        <x:v>NO</x:v>
      </x:c>
      <x:c r="L113" s="7" t="str">
        <x:v>NOT_CONFIRMED</x:v>
      </x:c>
      <x:c r="M113" s="7" t="str"/>
      <x:c r="N113" s="7" t="str">
        <x:v>VERIFIED_DOI_DOCUMENT</x:v>
      </x:c>
      <x:c r="O113" s="7" t="str">
        <x:v>B03_NON_TROPICAL_DIRECT_MECHANISM</x:v>
      </x:c>
      <x:c r="P113" s="11" t="str">
        <x:v>HIGH</x:v>
      </x:c>
      <x:c r="Q113" s="7" t="str">
        <x:v>Sea pansy Renilla kollikeri, a pennatulacean octocoral (soft coral). The study concerns its morphological and behavioral adaptations to sandy, sediment-burial-prone nearshore habitat.</x:v>
      </x:c>
      <x:c r="R113" s="7" t="str">
        <x:v>Sediment burial; deposits of sediment that bury the colony; also water flow and turbulence in sandy habitat.</x:v>
      </x:c>
      <x:c r="S113" s="7" t="str">
        <x:v>Behavioral response: ability to dig itself out of sediment deposits; anchoring adaptations; behavioral responses to water flow and uprooting. This is a biological response to sediment exposure.</x:v>
      </x:c>
      <x:c r="T113" s="7" t="str">
        <x:v>Directly tests sediment burial and the organism's behavioral recovery response in a temperate, non-tropical coral (sea pen). Aligns with B03.</x:v>
      </x:c>
      <x:c r="U113" s="7" t="str">
        <x:v>This study details field/laboratory observations of the sea pansy Renilla kollikeri, a pennatulacean octocoral, in its temperate nearshore sandy habitat. It explicitly describes sediment burial as characteristic of the habitat and documents behavioral adaptations to dig out of burial deposits. The response is a direct biological, behavioral response to a sediment pathway. Because the organism is a coral (sea pen) and the system is non-tropical, this qualifies under B03 (non-tropical direct mechanism). It is not simply a distribution or habitat study; it includes experiments on burial and digging. Thus TIER_B_INCLUDE is appropriate rather than CHAIN_ONLY or EXCLUDE.</x:v>
      </x:c>
      <x:c r="V113" s="7" t="str">
        <x:v>ALL_VERIFIED_NON_TROPICAL_TIER_B_INCLUSIONS</x:v>
      </x:c>
      <x:c r="W113" s="7" t="str">
        <x:v>TBV1-0249</x:v>
      </x:c>
    </x:row>
    <x:row r="114" ht="42" customHeight="1">
      <x:c r="A114" s="17" t="str">
        <x:v>B</x:v>
      </x:c>
      <x:c r="B114" s="7" t="str">
        <x:v>CWC-DDDF4EB70D81</x:v>
      </x:c>
      <x:c r="C114" s="7" t="str">
        <x:v>Boundary layer velocity structure in a coldwater coral area of Haddock Channel, southwest Grand Banks.</x:v>
      </x:c>
      <x:c r="D114" s="7" t="str">
        <x:v>William A. Fowler</x:v>
      </x:c>
      <x:c r="E114" s="11" t="str">
        <x:v>2014</x:v>
      </x:c>
      <x:c r="F114" s="7" t="str">
        <x:v>Memorial University Research Repository (Memorial University)</x:v>
      </x:c>
      <x:c r="G114" s="7" t="str">
        <x:v>dissertation</x:v>
      </x:c>
      <x:c r="H114" s="7" t="str"/>
      <x:c r="I114" s="7" t="str">
        <x:v>https://research.library.mun.ca/8148/1/Fowler_WilliamArthur_masters.pdf</x:v>
      </x:c>
      <x:c r="J114" s="7" t="str">
        <x:v>Gorgonian corals occur extensively at continental slope depths &gt; 200 m off the southwest \nGrand Banks of Newfoundland. Among these corals, Keratoisis grayi forms \ngorgonian coral thickets on cobbles and boulders in otherwise muddy sand habitats. \nThese thickets are believed to form a critical benthic habitat, in particular for juvenile \nfish, and as such are an integral part of the ecosystem. These coral thickets are \nimpacted by bottom trawling activity which therefore could have far reaching consequences \nfor the larger ecosystem. This thesis reports on a study of how the ocean \nbottom boundary layer is affected by the presence of coral thickets. This information \nis important both to establish the characteristics of coral habitat but also to demonstrate \nhow the removal of corals modifies the boundary layer which would in turn \nmodify the benthic environment. \nBottom boundary layer currents in coral habitat in Haddock Channel were characterized \nusing two 2-MHz acoustic Doppler current profilers.The profilers were deployed \non the seafloor at a depth of 700 m, looking upward, for 85 hours, beginning \nJuly 17th, 2007. The effective vertical profiling range was 4 meters, with 1 meter \ndepth resolution, sampling every 2.7 minutes. One instrument was placed in an area \nwhere bamboo corals (Keratoisis grayi ) extend approximately to 1 meter in height \nand occur with a density on the order of 1 colony per square meter (Coral Site). The \nsecond instrument was deployed 100 meters away in an area with visually similar sea floor characteristics, but from which the corals had been removed by a research \nbottom trawl (Mud Site). Mean flow speeds at both the Mud and Coral Site are \non the order of 10 cm s⁻¹, which is consistent with previous current data from the \ngeneral area. Observed currents showed some evidence of tidal forcing but other nonlinear \nprocesses clearly influence the current regime. Speed profiles were fitted to the \nlogarithmic law of the wall to obtain bottom roughness zₒ, and friction velocity u∗ \nestimates. Both the Mud and Coral Site appear to conform to the logarithmic law of \nthe wall for turbulent boundary layers. \nFriction velocity (u∗) estimates at flow speeds less than 5 cm s⁻¹, were consistently \nhigher at the Coral Site, relative to the Mud Site; Mud Site u∗ values were 30% \nto 80% of Coral Site estimates, indicating increased turbulence due to the presence \nof corals. However, friction velocity increased faster with flow speed at the Mud \nSite, suggesting that at higher flow speeds coral induced bottom roughness is less \nimportant to friction velocity. There was significant uncertainty in bed roughness \nestimates, however bed roughness values at the Coral Site (mean zₒ = 0.51 ± 0.28 \ncm), were found to be generally higher at flow speeds below 5 cm s⁻¹, compared to \nthe Mud Site (mean zₒ = 0.27 ± 0.40 cm), again possibly indicating that the coral \nare affecting the hydrodynamic roughness at low speeds. \nBackscatter intensity was also examined as an indication of suspended organic \nmaterial. It was impossible to make relative absolute comparisons between the two \nsites but relative changes in backscatter intensity could be compared. Backscatter \nlevels from both sites increased as flow speeds increased, up to 7 cm s⁻¹. Backscatter \nincreased faster with flow speed at the Mud Site, relative to the Coral Site, for speeds \nbetween 2.5 and 7 cm s⁻¹, which is broadly consistent with the suggestion of greater \nincrease in friction velocity values seen at the Mud Site. \nAbove 7 cm s⁻¹, Coral Site backscatter intensity increased substantially, while the corresponding Mud Site backscatter intensity declined. The reason for this change in \ntrend is unclear, a possible explanation being a transition into a different flow regime \nwhereby increased flow speeds interact favourably with the rough topography created \nby the corals. However, the large uncertainty estimates for backscatter levels at these \nhigher speeds were such that it was very difficult to draw firm conclusions. \nWe conclude that higher u∗ and zₒ estimates at low flow speeds at the Coral Site, \nrelative to the Mud Site, are consistent with the hypothesis that the enhancement of \nturbulence due to the coral behaving as roughness elements is significant only at low \nflow speeds, enabling coral polyps greater opportunities to extract organic material \nfrom the water column due to resuspension of organic material from the sea floor.</x:v>
      </x:c>
      <x:c r="K114" s="11" t="str">
        <x:v>NO</x:v>
      </x:c>
      <x:c r="L114" s="7" t="str">
        <x:v>NOT_CONFIRMED</x:v>
      </x:c>
      <x:c r="M114" s="7" t="str"/>
      <x:c r="N114" s="7" t="str">
        <x:v>VERIFIED_DIRECT_DOCUMENT_URL</x:v>
      </x:c>
      <x:c r="O114" s="7" t="str">
        <x:v>B01_DEEP_COLD_SEDIMENT_EVIDENCE</x:v>
      </x:c>
      <x:c r="P114" s="11" t="str">
        <x:v>HIGH</x:v>
      </x:c>
      <x:c r="Q114" s="7" t="str">
        <x:v>Cold-water coral Keratoisis grayi (bamboo coral) thickets at Haddock Channel, southwest Grand Banks, at ~700 m depth.</x:v>
      </x:c>
      <x:c r="R114" s="7" t="str">
        <x:v>Suspended particulate/organic material, resuspension, and boundary layer hydrodynamics (friction velocity, bed roughness, backscatter) in coral versus trawled mud sites.</x:v>
      </x:c>
      <x:c r="S114" s="7" t="str">
        <x:v>Indirect ecological response: corals increase turbulence and resuspension at low flow speeds, enhancing opportunities for polyps to extract organic material; comparison of coral and mud sites reveals altered sedimentary processes.</x:v>
      </x:c>
      <x:c r="T114" s="7" t="str">
        <x:v>B01: Deep-sea cold-water coral (Keratoisis grayi) with explicit suspended-particle/resuspension pathway and indirect biological/ecological response, from a substantive dissertation.</x:v>
      </x:c>
      <x:c r="U114" s="7" t="str">
        <x:v>The thesis investigates boundary layer dynamics in a cold-water coral habitat, measuring suspended organic matter via backscatter and linking flow-induced resuspension to coral feeding opportunities. This provides indirect ecological evidence of a sediment-related pathway affecting cold-water corals, fitting B01's allowance for indirect responses. The document is a substantive dissertation, not a webpage. It is not merely physical transport because it explicitly interprets effects on coral polyps. The closest alternative would be exclusion for lacking direct organism response, but B01 deliberately broadens beyond organism-level response. Confidence is high because the abstract clearly states the coral species, sediment/suspended-particle pathway, and ecological implication.</x:v>
      </x:c>
      <x:c r="V114" s="7" t="str">
        <x:v>ALL_VERIFIED_NON_TROPICAL_TIER_B_INCLUSIONS</x:v>
      </x:c>
      <x:c r="W114" s="7" t="str">
        <x:v>TBV1-0115</x:v>
      </x:c>
    </x:row>
    <x:row r="115" ht="42" customHeight="1">
      <x:c r="A115" s="17" t="str">
        <x:v>B</x:v>
      </x:c>
      <x:c r="B115" s="7" t="str">
        <x:v>CWC-CF0ECEBB83B5</x:v>
      </x:c>
      <x:c r="C115" s="7" t="str">
        <x:v>Burrowing hard corals occurring on the sea floor since 80 million years ago</x:v>
      </x:c>
      <x:c r="D115" s="7" t="str">
        <x:v>Asuka Sentoku | Yuki Tokuda | Yoichi Ezaki</x:v>
      </x:c>
      <x:c r="E115" s="11" t="str">
        <x:v>2016</x:v>
      </x:c>
      <x:c r="F115" s="7" t="str">
        <x:v>Scientific Reports</x:v>
      </x:c>
      <x:c r="G115" s="7" t="str">
        <x:v>article</x:v>
      </x:c>
      <x:c r="H115" s="7" t="str">
        <x:v>10.1038/srep24355</x:v>
      </x:c>
      <x:c r="I115" s="7" t="str">
        <x:v>https://doi.org/10.1038/srep24355</x:v>
      </x:c>
      <x:c r="J115" s="7" t="str">
        <x:v>We describe a previously unknown niche for hard corals in the small, bowl-shaped, solitary scleractinian, Deltocyathoides orientalis (Family Turbinoliidae), on soft-bottom substrates. Observational experiments were used to clarify how the sea floor niche is exploited by turbinoliids. Deltocyathoides orientalis is adapted to an infaunal mode of life and exhibits behaviours associated with automobility that include burrowing into sediments, vertical movement through sediments to escape burial, and recovery of an upright position after being overturned. These behaviours were achieved through repeated expansion and contraction of their peripheral soft tissues, which constitute a unique muscle-membrane system. Histological analysis showed that these muscle arrangements were associated with deeply incised inter-costal spaces characteristic of turbinoliid corals. The oldest known turbinoliid, Bothrophoria ornata, which occurred in the Cretaceous (Campanian), also possessed a small, conical skeleton with highly developed costae. An infaunal mode of life became available to turbinoliids due to the acquisition of automobility through the muscle-membrane system at least 80 million years ago. The newly discovered active burrowing strategies described herein provide new insights into the use of an unattached mode of life by corals inhabiting soft-bottom substrates throughout the Phanerozoic.</x:v>
      </x:c>
      <x:c r="K115" s="11" t="str">
        <x:v>YES</x:v>
      </x:c>
      <x:c r="L115" s="7" t="str">
        <x:v>FROZEN_PUBLIC_FULL_TEXT_LOCATION</x:v>
      </x:c>
      <x:c r="M115" s="7" t="str">
        <x:v>https://www.nature.com/articles/srep24355.pdf</x:v>
      </x:c>
      <x:c r="N115" s="7" t="str">
        <x:v>VERIFIED_DOI_DOCUMENT</x:v>
      </x:c>
      <x:c r="O115" s="7" t="str">
        <x:v>B03_NON_TROPICAL_DIRECT_MECHANISM</x:v>
      </x:c>
      <x:c r="P115" s="11" t="str">
        <x:v>HIGH</x:v>
      </x:c>
      <x:c r="Q115" s="7" t="str">
        <x:v>Deltacyathoides orientalis, a solitary scleractinian turbinoliid coral.</x:v>
      </x:c>
      <x:c r="R115" s="7" t="str">
        <x:v>Burial and sediment disturbance; burrowing into soft-bottom substrates.</x:v>
      </x:c>
      <x:c r="S115" s="7" t="str">
        <x:v>Infaunal burrowing, vertical movement to escape burial, and recovery of upright position after overturning; adaptive behaviors for soft-bottom substrates.</x:v>
      </x:c>
      <x:c r="T115" s="7" t="str">
        <x:v>Direct experimental evidence of sediment-related exposure and behavioral response in a non-tropical coral.</x:v>
      </x:c>
      <x:c r="U115" s="7" t="str">
        <x:v>The study directly observes a coral (Deltacyathoides orientalis) responding to sediment burial through burrowing, escape movements, and upright recovery. The sediment pathway is explicit and the response is behavioral and ecologically relevant. No tropical setting is indicated, so it fits B03 for non-tropical direct mechanism. It is not B01 because deep-sea/cold-water status is not established. It is not B04 because tropical status is not established.</x:v>
      </x:c>
      <x:c r="V115" s="7" t="str">
        <x:v>ALL_VERIFIED_NON_TROPICAL_TIER_B_INCLUSIONS</x:v>
      </x:c>
      <x:c r="W115" s="7" t="str">
        <x:v>TBV1-0182</x:v>
      </x:c>
    </x:row>
    <x:row r="116" ht="42" customHeight="1">
      <x:c r="A116" s="17" t="str">
        <x:v>B</x:v>
      </x:c>
      <x:c r="B116" s="7" t="str">
        <x:v>GLV4-335E4AF21B20</x:v>
      </x:c>
      <x:c r="C116" s="7" t="str">
        <x:v>Canadian Impact Assessment Registry Bay du Nord Development Project ENVIRONMENTAL ASSESSMENT REPORT August 2021</x:v>
      </x:c>
      <x:c r="D116" s="7" t="str"/>
      <x:c r="E116" s="11" t="str">
        <x:v>2021</x:v>
      </x:c>
      <x:c r="F116" s="7" t="str">
        <x:v>iaac-aeic.gc.ca</x:v>
      </x:c>
      <x:c r="G116" s="7" t="str">
        <x:v>report</x:v>
      </x:c>
      <x:c r="H116" s="7" t="str"/>
      <x:c r="I116" s="7" t="str">
        <x:v>https://iaac-aeic.gc.ca/050/documents/p80154/138155E.pdf</x:v>
      </x:c>
      <x:c r="J116" s="7" t="str">
        <x:v>relative to produced discharges (including drill cuttings), sound and light emissions, and presence of infrastructure (including subsea). The drill cuttings discharge modelling indicated that burial of benthic habitat (greater than 1.5 millimetres thickness) would extend up to 200 metres from each template site. Drill cuttings deposition above 1.5 millimetres may drift and settle up to two kilometres from the well site, which the proponent predicted would be patchy and not result in adverse effects on corals, sponges and sea pens. The proponent stated that drill cuttings modelling for recent e</x:v>
      </x:c>
      <x:c r="K116" s="11" t="str">
        <x:v>YES</x:v>
      </x:c>
      <x:c r="L116" s="7" t="str">
        <x:v>PUBLIC_FULL_DOCUMENT_LOCATION</x:v>
      </x:c>
      <x:c r="M116" s="7" t="str">
        <x:v>https://iaac-aeic.gc.ca/050/documents/p80154/138155E.pdf</x:v>
      </x:c>
      <x:c r="N116" s="7" t="str">
        <x:v>VERIFIED_DIRECT_DOCUMENT_URL</x:v>
      </x:c>
      <x:c r="O116" s="7" t="str">
        <x:v>B02_DEEP_COLD_REVIEW_ASSESSMENT</x:v>
      </x:c>
      <x:c r="P116" s="11" t="str">
        <x:v>HIGH</x:v>
      </x:c>
      <x:c r="Q116" s="7" t="str">
        <x:v>Corals, sponges, and sea pens in deep/cold-water benthic habitats offshore Newfoundland.</x:v>
      </x:c>
      <x:c r="R116" s="7" t="str">
        <x:v>Drill cuttings discharge; modelled burial thickness greater than 1.5 mm extending up to 200 m from each template, with patchy deposition potentially up to 2 km from well sites.</x:v>
      </x:c>
      <x:c r="S116" s="7" t="str">
        <x:v>Impact assessment predicting no adverse effects on corals, sponges, and sea pens from drill cuttings deposition; presents a regulatory assessment of sediment-related effects on target taxa.</x:v>
      </x:c>
      <x:c r="T116" s="7" t="str">
        <x:v>Substantive government/regulatory environmental assessment report with a direct sediment-impact focus and explicit evaluation of effects on corals, sponges, and sea pens, meeting B02.</x:v>
      </x:c>
      <x:c r="U116" s="7" t="str">
        <x:v>This is a substantive environmental assessment report for an offshore oil development. The abstract explicitly discusses drill cuttings discharge modelling, burial thickness thresholds, and predicted effects on corals, sponges, and sea pens. This constitutes a regulatory assessment document with a direct sediment-impact focus, fitting Tier B pathway B02 (deep/cold coral or sponge review, government report, regulatory assessment, monitoring report). It is not merely physical modelling because it links sediment deposition to biological impact predictions for target taxa. It is preferable to B01 because it is an assessment/review document rather than primary evidence, and preferable to CHAIN_ONLY because the supplied content contains clear target-relevant assessment evidence. Exclude is not appropriate. Confidence is high given the explicit statement of sediment pathway and coral/sponge response.</x:v>
      </x:c>
      <x:c r="V116" s="7" t="str">
        <x:v>ALL_VERIFIED_NON_TROPICAL_TIER_B_INCLUSIONS</x:v>
      </x:c>
      <x:c r="W116" s="7" t="str">
        <x:v>TBV1-0426</x:v>
      </x:c>
    </x:row>
    <x:row r="117" ht="42" customHeight="1">
      <x:c r="A117" s="17" t="str">
        <x:v>B</x:v>
      </x:c>
      <x:c r="B117" s="7" t="str">
        <x:v>GLV4-9AF788269796</x:v>
      </x:c>
      <x:c r="C117" s="7" t="str">
        <x:v>Canadian Science Advisory Secretariat (CSAS) Proceedings Series 2014/040</x:v>
      </x:c>
      <x:c r="D117" s="7" t="str"/>
      <x:c r="E117" s="11" t="str">
        <x:v>2014</x:v>
      </x:c>
      <x:c r="F117" s="7" t="str">
        <x:v>waves-vagues.dfo-mpo.gc.ca</x:v>
      </x:c>
      <x:c r="G117" s="7" t="str">
        <x:v>government_report</x:v>
      </x:c>
      <x:c r="H117" s="7" t="str"/>
      <x:c r="I117" s="7" t="str">
        <x:v>https://waves-vagues.dfo-mpo.gc.ca/Library/360169.pdf</x:v>
      </x:c>
      <x:c r="J117" s="7" t="str">
        <x:v>conclusions and advice resulting from this review will be provided in a Science Advisory Report to DFO Ecosystem Management Branch Pacific Region to provide an assessment of the nature and extent of the potential effects of sedimentation on glass sponge reefs and recommend mitigation measures for activities/areas where risks to these communities are identified. The Science Advisory Report and supporting Research Document will be made publicly available on the CSAS Science Advisory Schedule at the Fisheries and Oceans Canada, Canadian Science Advisory Secretariat (CSAS) Website. v Compte rendu</x:v>
      </x:c>
      <x:c r="K117" s="11" t="str">
        <x:v>YES</x:v>
      </x:c>
      <x:c r="L117" s="7" t="str">
        <x:v>PUBLIC_FULL_DOCUMENT_LOCATION</x:v>
      </x:c>
      <x:c r="M117" s="7" t="str">
        <x:v>https://waves-vagues.dfo-mpo.gc.ca/Library/360169.pdf</x:v>
      </x:c>
      <x:c r="N117" s="7" t="str">
        <x:v>VERIFIED_DIRECT_DOCUMENT_URL</x:v>
      </x:c>
      <x:c r="O117" s="7" t="str">
        <x:v>B02_DEEP_COLD_REVIEW_ASSESSMENT</x:v>
      </x:c>
      <x:c r="P117" s="11" t="str">
        <x:v>HIGH</x:v>
      </x:c>
      <x:c r="Q117" s="7" t="str">
        <x:v>Glass sponge reefs (Hexactinellida)</x:v>
      </x:c>
      <x:c r="R117" s="7" t="str">
        <x:v>Sedimentation</x:v>
      </x:c>
      <x:c r="S117" s="7" t="str">
        <x:v>Assessment of the nature and extent of potential effects of sedimentation on glass sponge reefs, with recommended mitigation measures</x:v>
      </x:c>
      <x:c r="T117" s="7" t="str">
        <x:v>Canadian Science Advisory Secretariat proceedings document specifically addressing sediment-related impacts on cold-water glass sponge reefs and providing management advice, fitting Tier B review/assessment pathway.</x:v>
      </x:c>
      <x:c r="U117" s="7" t="str">
        <x:v>This is a government proceedings report from the Canadian Science Advisory Secretariat focused on the effects of sedimentation on glass sponge reefs. It clearly has a direct sediment-impact focus and provides an assessment and mitigation recommendations, meeting B02_DEEP_COLD_REVIEW_ASSESSMENT. The document is substantive and directly relevant; it is not merely a discovery page. Closest alternative would be CHAIN_ONLY, but the supplied snippet explicitly indicates sediment-related assessment content for sponges, so inclusion is warranted.</x:v>
      </x:c>
      <x:c r="V117" s="7" t="str">
        <x:v>ALL_VERIFIED_CSAS</x:v>
      </x:c>
      <x:c r="W117" s="7" t="str">
        <x:v>TBV1-0486</x:v>
      </x:c>
    </x:row>
    <x:row r="118" ht="42" customHeight="1">
      <x:c r="A118" s="17" t="str">
        <x:v>B</x:v>
      </x:c>
      <x:c r="B118" s="7" t="str">
        <x:v>CWC-D178BD4291AA</x:v>
      </x:c>
      <x:c r="C118" s="7" t="str">
        <x:v>Carbonate budget of a cold-water coral carbonate mound: Propeller Mound, Porcupine Seabight</x:v>
      </x:c>
      <x:c r="D118" s="7" t="str">
        <x:v>Boris Dorschel | Dierk Hebbeln | Andres Rüggeberg | Christian Dullo</x:v>
      </x:c>
      <x:c r="E118" s="11" t="str">
        <x:v>2005</x:v>
      </x:c>
      <x:c r="F118" s="7" t="str">
        <x:v>International Journal of Earth Sciences</x:v>
      </x:c>
      <x:c r="G118" s="7" t="str">
        <x:v>article</x:v>
      </x:c>
      <x:c r="H118" s="7" t="str">
        <x:v>10.1007/s00531-005-0493-0</x:v>
      </x:c>
      <x:c r="I118" s="7" t="str">
        <x:v>https://doi.org/10.1007/s00531-005-0493-0</x:v>
      </x:c>
      <x:c r="J118" s="7" t="str">
        <x:v>High resolution studies from the Propeller Mound, a cold-water coral carbonate mound in the NE Atlantic, show that this mound consists of &gt; 50% carbonate justifying the name 'carbonate mound'. Through the last similar to 300,000 years approximately one third of the carbonate has been contributed by cold-water corals, namely Lophelia pertusa and Madrepora oculata. This coral bound contribution to the carbonate budget of Propeller Mound is probably accompanied by an unknown portion of sediments buffered from suspension by the corals. However, extended hiatuses in Propeller Mound sequences only allow the calculation of a net carbonate accumulation. Thus, net carbonate accumulation for the last 175 kyr accounts for only &lt; 0.3 g/cm(2)/ kyr, which is even less than for the off-mound sediments. These data imply that Propeller Mound faces burial by hemipelagic sediments as has happened to numerous buried carbonate mounds found slightly to the north of the investigated area.</x:v>
      </x:c>
      <x:c r="K118" s="11" t="str">
        <x:v>NO</x:v>
      </x:c>
      <x:c r="L118" s="7" t="str">
        <x:v>NOT_CONFIRMED</x:v>
      </x:c>
      <x:c r="M118" s="7" t="str"/>
      <x:c r="N118" s="7" t="str">
        <x:v>VERIFIED_DOI_DOCUMENT</x:v>
      </x:c>
      <x:c r="O118" s="7" t="str">
        <x:v>B01_DEEP_COLD_SEDIMENT_EVIDENCE</x:v>
      </x:c>
      <x:c r="P118" s="11" t="str">
        <x:v>HIGH</x:v>
      </x:c>
      <x:c r="Q118" s="7" t="str">
        <x:v>Cold-water corals Lophelia pertusa and Madrepora oculata on Propeller Mound, NE Atlantic.</x:v>
      </x:c>
      <x:c r="R118" s="7" t="str">
        <x:v>Explicit sediment pathway: suspended sediments buffered from suspension by corals, and burial by hemipelagic sediments.</x:v>
      </x:c>
      <x:c r="S118" s="7" t="str">
        <x:v>Quantifies net carbonate accumulation (&lt;0.3 g/cm2/kyr) and concludes the mound faces burial by hemipelagic sediments; addresses implications for mound survival.</x:v>
      </x:c>
      <x:c r="T118" s="7" t="str">
        <x:v>Direct deep/cold coral source with explicit sediment burial/deposition pathway and biological/ecological impact evidence (carbonate budget, burial risk).</x:v>
      </x:c>
      <x:c r="U118" s="7" t="str">
        <x:v>This is a deep-sea cold-water coral study explicitly addressing sediment dynamics and burial. It documents that corals contribute to the carbonate mound but that the mound is currently being buried by hemipelagic sediments, which is a direct sediment-impact pathway. The evidence includes net carbonate accumulation rates and inferred burial risk, satisfying B01's requirement for sediment-related impact or condition evidence. It is preferable to CHAIN_ONLY because it includes substantive coral-sediment interaction, not merely references. It is not excluded because the sediment pathway and coral response are clear, despite being more geological than experimental.</x:v>
      </x:c>
      <x:c r="V118" s="7" t="str">
        <x:v>ALL_VERIFIED_CENTRAL_PEER_REVIEWED</x:v>
      </x:c>
      <x:c r="W118" s="7" t="str">
        <x:v>TBV1-0050</x:v>
      </x:c>
    </x:row>
    <x:row r="119" ht="42" customHeight="1">
      <x:c r="A119" s="17" t="str">
        <x:v>B</x:v>
      </x:c>
      <x:c r="B119" s="7" t="str">
        <x:v>GLV4-03C8D5228F36</x:v>
      </x:c>
      <x:c r="C119" s="7" t="str">
        <x:v>Cenos EIA Chapter 10 – Benthic Ecology</x:v>
      </x:c>
      <x:c r="D119" s="7" t="str"/>
      <x:c r="E119" s="11" t="str"/>
      <x:c r="F119" s="7" t="str">
        <x:v>marine.gov.scot</x:v>
      </x:c>
      <x:c r="G119" s="7" t="str">
        <x:v>environmental_impact_statement</x:v>
      </x:c>
      <x:c r="H119" s="7" t="str"/>
      <x:c r="I119" s="7" t="str">
        <x:v>https://marine.gov.scot/sites/default/files/cenos_eia_vol.3_-_chapter_10_-_benthic_ecology_redacted.pdf</x:v>
      </x:c>
      <x:c r="J119" s="7" t="str">
        <x:v>that A. digitatum sloughed off settled particles with a large amount of mucous. In terms of smothering A. digitatum has low sensitivity, intermediate intolerance and Cenos EIA Chapter 10 – Benthic Ecology Document Number: A-100907-S01-A-ESIA-011 146 high recoverability (Budd, 2008). Some colonies of A. digitatum can attain a height of up to 20 cm (i.e. a level of sedimentation much higher than the worst-case scenario predicted from the modelling study – see Section 10.6.1.2 and Section 10.5.6.2) so would still be able to expand tentacles and columns of the polyps to filer feed, and materials m</x:v>
      </x:c>
      <x:c r="K119" s="11" t="str">
        <x:v>YES</x:v>
      </x:c>
      <x:c r="L119" s="7" t="str">
        <x:v>PUBLIC_FULL_DOCUMENT_LOCATION</x:v>
      </x:c>
      <x:c r="M119" s="7" t="str">
        <x:v>https://marine.gov.scot/sites/default/files/cenos_eia_vol.3_-_chapter_10_-_benthic_ecology_redacted.pdf</x:v>
      </x:c>
      <x:c r="N119" s="7" t="str">
        <x:v>VERIFIED_DIRECT_DOCUMENT_URL</x:v>
      </x:c>
      <x:c r="O119" s="7" t="str">
        <x:v>B02_DEEP_COLD_REVIEW_ASSESSMENT</x:v>
      </x:c>
      <x:c r="P119" s="11" t="str">
        <x:v>HIGH</x:v>
      </x:c>
      <x:c r="Q119" s="7" t="str">
        <x:v>Alcyonium digitatum (dead man's fingers), a cold-water soft coral.</x:v>
      </x:c>
      <x:c r="R119" s="7" t="str">
        <x:v>Sedimentation, smothering, and settled particles.</x:v>
      </x:c>
      <x:c r="S119" s="7" t="str">
        <x:v>Mucous-mediated particle sloughing, low sensitivity, intermediate intolerance, high recoverability, ability to expand tentacles and filter feed despite sedimentation.</x:v>
      </x:c>
      <x:c r="T119" s="7" t="str">
        <x:v>Substantive EIA chapter assessing sediment-related impacts on a cold-water coral, with sensitivity and recoverability data relevant to the review.</x:v>
      </x:c>
      <x:c r="U119" s="7" t="str">
        <x:v>The snippet from this EIA chapter directly discusses sedimentation and smothering effects on Alcyonium digitatum, a cold-water soft coral, including mucus production, sensitivity, intolerance, and recoverability. This is a substantive regulatory assessment, fitting B02_DEEP_COLD_REVIEW_ASSESSMENT. It is preferable to B01 because it is an assessment, not a primary evidence study, and preferable to CHAIN_ONLY because it contains direct target evidence.</x:v>
      </x:c>
      <x:c r="V119" s="7" t="str">
        <x:v>ALL_VERIFIED_NON_TROPICAL_TIER_B_INCLUSIONS</x:v>
      </x:c>
      <x:c r="W119" s="7" t="str">
        <x:v>TBV1-0786</x:v>
      </x:c>
    </x:row>
    <x:row r="120" ht="42" customHeight="1">
      <x:c r="A120" s="17" t="str">
        <x:v>B</x:v>
      </x:c>
      <x:c r="B120" s="7" t="str">
        <x:v>CWC-7398D80B9FD9</x:v>
      </x:c>
      <x:c r="C120" s="7" t="str">
        <x:v>Chapter 18 Drilling Mud Plumes From Offshore Drilling Operations: Implications for Coral Survival</x:v>
      </x:c>
      <x:c r="D120" s="7" t="str">
        <x:v>Eugene A. Shinn | J. Harold Hudson | Daniel M. Robbin | Carol K. Lee</x:v>
      </x:c>
      <x:c r="E120" s="11" t="str">
        <x:v>1980</x:v>
      </x:c>
      <x:c r="F120" s="7" t="str">
        <x:v>Elsevier oceanography series</x:v>
      </x:c>
      <x:c r="G120" s="7" t="str">
        <x:v>book-chapter</x:v>
      </x:c>
      <x:c r="H120" s="7" t="str">
        <x:v>10.1016/s0422-9894(08)71395-3</x:v>
      </x:c>
      <x:c r="I120" s="7" t="str">
        <x:v>https://doi.org/10.1016/s0422-9894(08)71395-3</x:v>
      </x:c>
      <x:c r="J120" s="7" t="str"/>
      <x:c r="K120" s="11" t="str">
        <x:v>NO</x:v>
      </x:c>
      <x:c r="L120" s="7" t="str">
        <x:v>NOT_CONFIRMED</x:v>
      </x:c>
      <x:c r="M120" s="7" t="str"/>
      <x:c r="N120" s="7" t="str">
        <x:v>VERIFIED_DOI_DOCUMENT</x:v>
      </x:c>
      <x:c r="O120" s="7" t="str">
        <x:v>B01_DEEP_COLD_SEDIMENT_EVIDENCE</x:v>
      </x:c>
      <x:c r="P120" s="11" t="str">
        <x:v>MEDIUM</x:v>
      </x:c>
      <x:c r="Q120" s="7" t="str">
        <x:v>Corals (unspecified environment)</x:v>
      </x:c>
      <x:c r="R120" s="7" t="str">
        <x:v>Drilling mud plumes from offshore drilling operations (suspended particles/deposition)</x:v>
      </x:c>
      <x:c r="S120" s="7" t="str">
        <x:v>Implications for coral survival</x:v>
      </x:c>
      <x:c r="T120" s="7" t="str">
        <x:v>Title explicitly describes drilling mud plumes and their implications for coral survival, meeting the Tier B sediment-impact criteria (drilling-mud pathway and biological response).</x:v>
      </x:c>
      <x:c r="U120" s="7" t="str">
        <x:v>Title clearly indicates a study or assessment of drilling mud plumes (a sediment-related pathway) and their implications for coral survival (a biological response). The document is a substantive book chapter. Environmental context (deep/cold vs tropical) is not specified in the title, so the specific Tier B pathway is uncertain; however, the content is clearly within the scope of sediment effects on corals. Prefer include over CHAIN_ONLY because there is direct coral/sediment content. Over EXCLUDE because there is no indication of out-of-scope. Over UNCERTAIN because the title provides sufficient evidence for inclusion, though full text may be needed to refine the pathway code.</x:v>
      </x:c>
      <x:c r="V120" s="7" t="str">
        <x:v>ALL_VERIFIED_NON_TROPICAL_TIER_B_INCLUSIONS</x:v>
      </x:c>
      <x:c r="W120" s="7" t="str">
        <x:v>TBV1-0164</x:v>
      </x:c>
    </x:row>
    <x:row r="121" ht="42" customHeight="1">
      <x:c r="A121" s="17" t="str">
        <x:v>B</x:v>
      </x:c>
      <x:c r="B121" s="7" t="str">
        <x:v>GLV4-D60A097AB693</x:v>
      </x:c>
      <x:c r="C121" s="7" t="str">
        <x:v>CO #42 Large gorgonian corals in the PBGB LOMA</x:v>
      </x:c>
      <x:c r="D121" s="7" t="str"/>
      <x:c r="E121" s="11" t="str"/>
      <x:c r="F121" s="7" t="str">
        <x:v>waves-vagues.dfo-mpo.gc.ca</x:v>
      </x:c>
      <x:c r="G121" s="7" t="str">
        <x:v>report</x:v>
      </x:c>
      <x:c r="H121" s="7" t="str"/>
      <x:c r="I121" s="7" t="str">
        <x:v>https://waves-vagues.dfo-mpo.gc.ca/Library/342998rank8.pdf</x:v>
      </x:c>
      <x:c r="J121" s="7" t="str">
        <x:v>or associated pipeline construction, or buried under dredge spoils, drill cuttings or muds will be permanently destroyed.  Associated activities may affect corals over a broader area by increasing sedimentation levels in the water column, as well as potentially toxic drill cuttings and muds (Gass, 2003).  Exposure to disturbances, either physical or chemical, often results in the retraction of coral polyps. If these defense reactions persist for long periods of time because of continued exposure to a pollutant or physical disturbance, they can have various results- decreased nutrient assimil</x:v>
      </x:c>
      <x:c r="K121" s="11" t="str">
        <x:v>YES</x:v>
      </x:c>
      <x:c r="L121" s="7" t="str">
        <x:v>PUBLIC_FULL_DOCUMENT_LOCATION</x:v>
      </x:c>
      <x:c r="M121" s="7" t="str">
        <x:v>https://waves-vagues.dfo-mpo.gc.ca/Library/342998rank8.pdf</x:v>
      </x:c>
      <x:c r="N121" s="7" t="str">
        <x:v>VERIFIED_DIRECT_DOCUMENT_URL</x:v>
      </x:c>
      <x:c r="O121" s="7" t="str">
        <x:v>B01_DEEP_COLD_SEDIMENT_EVIDENCE</x:v>
      </x:c>
      <x:c r="P121" s="11" t="str">
        <x:v>HIGH</x:v>
      </x:c>
      <x:c r="Q121" s="7" t="str">
        <x:v>Large gorgonian corals (cold-water corals) in the PBGB LOMA, a deep-sea or cold-water coral context.</x:v>
      </x:c>
      <x:c r="R121" s="7" t="str">
        <x:v>Sediment-related stressors including pipeline construction, dredge spoils, drill cuttings, muds, and increased water-column sedimentation.</x:v>
      </x:c>
      <x:c r="S121" s="7" t="str">
        <x:v>Permanent destruction if buried; polyp retraction and decreased nutrient assimilation with continued sediment exposure.</x:v>
      </x:c>
      <x:c r="T121" s="7" t="str">
        <x:v>Meets B01_DEEP_COLD_SEDIMENT_EVIDENCE: a cold-water coral source with an explicit sediment pathway and biological/impact evidence.</x:v>
      </x:c>
      <x:c r="U121" s="7" t="str">
        <x:v>The report concerns large gorgonian corals in a Canadian offshore area and explicitly links sediment-related stressors (pipeline construction, dredge spoils, drill cuttings, muds, increased sedimentation) to biological impacts, including permanent destruction via burial and polyp retraction leading to decreased nutrient assimilation. This matches B01_DEEP_COLD_SEDIMENT_EVIDENCE because it is a cold-water coral source with an explicit sediment pathway and impact evidence. It could also be considered a B02 assessment report, but B01 is the more direct evidence pathway. Exclusions do not apply because the organism and stressor are clearly coral and sediment. Confidence is HIGH given explicit wording.</x:v>
      </x:c>
      <x:c r="V121" s="7" t="str">
        <x:v>ALL_VERIFIED_CSAS</x:v>
      </x:c>
      <x:c r="W121" s="7" t="str">
        <x:v>TBV1-0450</x:v>
      </x:c>
    </x:row>
    <x:row r="122" ht="42" customHeight="1">
      <x:c r="A122" s="17" t="str">
        <x:v>B</x:v>
      </x:c>
      <x:c r="B122" s="7" t="str">
        <x:v>CWC-D59D421CC301</x:v>
      </x:c>
      <x:c r="C122" s="7" t="str">
        <x:v>Cold-water coral ecosystems in Cassidaigne Canyon: An assessment of their environmental living conditions</x:v>
      </x:c>
      <x:c r="D122" s="7" t="str">
        <x:v>Marie-Claire Fabri | Annaëlle Bargain | Ivane Pairaud | Laura Pedel | Isabelle Taupier‐Letage</x:v>
      </x:c>
      <x:c r="E122" s="11" t="str">
        <x:v>2016</x:v>
      </x:c>
      <x:c r="F122" s="7" t="str">
        <x:v>Deep Sea Research Part II Topical Studies in Oceanography</x:v>
      </x:c>
      <x:c r="G122" s="7" t="str">
        <x:v>article</x:v>
      </x:c>
      <x:c r="H122" s="7" t="str">
        <x:v>10.1016/j.dsr2.2016.06.006</x:v>
      </x:c>
      <x:c r="I122" s="7" t="str">
        <x:v>https://doi.org/10.1016/j.dsr2.2016.06.006</x:v>
      </x:c>
      <x:c r="J122" s="7" t="str">
        <x:v>The Cassidaigne canyon is one of the two canyons (together with Lacaze-Duthiers) of the French Mediterranean coast in which cold-water corals have settled and formed large colonies, providing a structural habitat for other species. Nevertheless, the communities settled in the Cassidaigne canyon are physically impacted by discharges of bauxite residues. New information on the distribution of the species Madrepora oculata and the associated species diversity in Cassidaigne canyon was provided by videos and photos acquired in 2013. An area investigated at 515 m depth harbored a high density of small colonies of M. oculata. The water column structure of the area was described by using a CTD transect deployed along the axis of the canyon. High resolution (10 m and 2 m) bathymetric data were collected in the Cassidaigne canyon in 2010 and 2014. Seafloor characteristics were derived from the 10 m resolution bathymetric data. Data on local hydrodynamic conditions in the first 10 m above the seafloor were produced by applying the MARS3D hydrodynamic model in the Cassidaigne canyon at a horizontal resolution of 80 m (CASCANS model configuration). These environmental datasets combined with the geographic coordinates of the known occurrences of dense M. oculata colonies in the canyon allowed establishing a model using the MaxEnt software package to predict the habitat distribution in terms of probability of occurrence. According to the water mass analysis, M. oculata habitats are mainly located in the layer of the Intermediate waters originating from the Eastern Mediterranean Basin. A high concentration of suspended sediment due to the bauxite residues expelled into the canyon was observed in the axis. of the canyon where we measured 1 NTU (2.5 mg/l) at 100 m above the bottom while concentrations were even higher (2 NTU; 5 mg/l) closer to the bottom. The habitat 'suitability model indicates that the living conditions of M. oculata can be found in areas of the Cassidaigne canyon where the substratum shows irregularities, slopes and topographic highs. Concerning environmental variables resulting from the hydrodynamic model, temperature and high current velocities were identified as explanatory factors of the distribution of M. oculata. Suitable areas for M. oculata habitat settlement were mapped at the scale of the canyon. This study gathers multiple disciplines combined to consider a submarine canyon as a global functioning system and is an approach intended to promote the management of sensitive ecosystems in complex topographic features such as canyons. (C) 2016 Elsevier Ltd. All rights reserved.</x:v>
      </x:c>
      <x:c r="K122" s="11" t="str">
        <x:v>YES</x:v>
      </x:c>
      <x:c r="L122" s="7" t="str">
        <x:v>FROZEN_PUBLIC_FULL_TEXT_LOCATION</x:v>
      </x:c>
      <x:c r="M122" s="7" t="str">
        <x:v>https://archimer.ifremer.fr/doc/00343/45373/</x:v>
      </x:c>
      <x:c r="N122" s="7" t="str">
        <x:v>VERIFIED_DOI_DOCUMENT</x:v>
      </x:c>
      <x:c r="O122" s="7" t="str">
        <x:v>B01_DEEP_COLD_SEDIMENT_EVIDENCE</x:v>
      </x:c>
      <x:c r="P122" s="11" t="str">
        <x:v>HIGH</x:v>
      </x:c>
      <x:c r="Q122" s="7" t="str">
        <x:v>Cold-water coral Madrepora oculata; associated species diversity in Cassidaigne Canyon.</x:v>
      </x:c>
      <x:c r="R122" s="7" t="str">
        <x:v>Discharges of bauxite residues; suspended sediment concentrations measured (1-2 NTU; 2.5-5 mg/l) near bottom.</x:v>
      </x:c>
      <x:c r="S122" s="7" t="str">
        <x:v>Living conditions/habitat suitability modelled; coral communities physically impacted; high density small colonies at 515 m; habitat distribution influenced by environmental variables.</x:v>
      </x:c>
      <x:c r="T122" s="7" t="str">
        <x:v>Deep-sea/cold-water coral study with explicit sediment pathway (bauxite residue discharges, suspended sediment) and impact/assessment evidence.</x:v>
      </x:c>
      <x:c r="U122" s="7" t="str">
        <x:v>The record evaluates cold-water coral ecosystems in Cassidaigne Canyon, specifically Madrepora oculata, under environmental conditions where bauxite residue discharges create elevated suspended sediment concentrations (2.5-5 mg/l). It explicitly states the communities are physically impacted by these discharges and assesses habitat suitability and living conditions via modeling. This provides direct evidence of a sediment pathway and biological/ecological impact or assessment, meeting Tier B inclusion under B01. The closest alternative would be B02 (review/assessment) as it is an assessment-style study, but B01 is more specific because it includes empirical sediment measurement and coral distribution evidence. Excluded alternatives (e.g., organism out of scope, no sediment pathway) do not apply.</x:v>
      </x:c>
      <x:c r="V122" s="7" t="str">
        <x:v>ALL_VERIFIED_CENTRAL_PEER_REVIEWED</x:v>
      </x:c>
      <x:c r="W122" s="7" t="str">
        <x:v>TBV1-0015</x:v>
      </x:c>
    </x:row>
    <x:row r="123" ht="42" customHeight="1">
      <x:c r="A123" s="17" t="str">
        <x:v>B</x:v>
      </x:c>
      <x:c r="B123" s="7" t="str">
        <x:v>CWC-2E7C6BB21300</x:v>
      </x:c>
      <x:c r="C123" s="7" t="str">
        <x:v>Cold-Water Coral Mound Archive Provides Unique Insights Into Intermediate Water Mass Dynamics in the Alboran Sea During the Last Deglaciation</x:v>
      </x:c>
      <x:c r="D123" s="7" t="str">
        <x:v>Robin Fentimen | Eline Feenstra | Andres Rüggeberg | Torsten Vennemann | Irka Hajdas | Thierry Adatte | David Van Rooij | Anneleen Foubert</x:v>
      </x:c>
      <x:c r="E123" s="11" t="str">
        <x:v>2020</x:v>
      </x:c>
      <x:c r="F123" s="7" t="str">
        <x:v>Frontiers in Marine Science</x:v>
      </x:c>
      <x:c r="G123" s="7" t="str">
        <x:v>article</x:v>
      </x:c>
      <x:c r="H123" s="7" t="str">
        <x:v>10.3389/fmars.2020.00354</x:v>
      </x:c>
      <x:c r="I123" s="7" t="str">
        <x:v>https://doi.org/10.3389/fmars.2020.00354</x:v>
      </x:c>
      <x:c r="J123" s="7" t="str">
        <x:v>The Alboran Sea is widely recognized to host numerous cold-water coral ecosystems, including the East Melilla Coral Province. Yet, their development through time and response to climatic variability has still to be fully understood. Based on a combined investigation of benthic foraminiferal assemblages, foraminiferal stable isotope compositions, grain size analysis, sediment geochemistry, and macrofaunal quantification, this study identifies key events and processes having governed cold-water coral development at the East Melilla Coral Province between Greenland Stadial 2.1 and the Early Holocene. The transition from Greenland Stadial 2.1 to Greenland Interstadial 1 is associated to a decline of bryozoan communities and their replacement by cold-water corals, together with changes in benthic foraminiferal assemblages and a decrease in the sediment mean grain size. These results suggest that a rapid decrease in bottom currents and the establishment of dysoxic and mesotrophic conditions at the seafloor, possibly associated to enhanced fluvial input, resulted in the decline of bryozoans as the dominant suspension feeding organisms and their replacement by a thriving cold-water coral community. This transition from a bryozoan to a coral dominated environment is concomitant with the beginning of the African Humid Period, confirming that increasing fluvial input could have been a main factor triggering the establishment of cold-water corals in the East Melilla Coral Province during Greenland Interstadial 1. A change in benthic foraminiferal communities and an increase in the sediment mean grain size mark the passage from the Early to Late Greenland Interstadial 1. The current velocity of intermediate water masses is suggested to have increased during the Early to Late Greenland Interstadial 1, whilst simultaneously fluvial input would have reduced. Such changes suggest that the climate became more arid during the second phase of Greenland Interstadial 1.</x:v>
      </x:c>
      <x:c r="K123" s="11" t="str">
        <x:v>YES</x:v>
      </x:c>
      <x:c r="L123" s="7" t="str">
        <x:v>FROZEN_PUBLIC_FULL_TEXT_LOCATION</x:v>
      </x:c>
      <x:c r="M123" s="7" t="str">
        <x:v>https://www.frontiersin.org/articles/10.3389/fmars.2020.00354/pdf</x:v>
      </x:c>
      <x:c r="N123" s="7" t="str">
        <x:v>VERIFIED_DOI_DOCUMENT</x:v>
      </x:c>
      <x:c r="O123" s="7" t="str">
        <x:v>B01_DEEP_COLD_SEDIMENT_EVIDENCE</x:v>
      </x:c>
      <x:c r="P123" s="11" t="str">
        <x:v>HIGH</x:v>
      </x:c>
      <x:c r="Q123" s="7" t="str">
        <x:v>Cold-water corals (likely Lophelia pertusa or Madrepora oculata) and associated bryozoan communities in the East Melilla Coral Province, Alboran Sea.</x:v>
      </x:c>
      <x:c r="R123" s="7" t="str">
        <x:v>Sediment-related changes: increased fluvial input (sediment delivery), decreased sediment mean grain size, and lower bottom-current velocity, leading to dysoxic and mesotrophic conditions.</x:v>
      </x:c>
      <x:c r="S123" s="7" t="str">
        <x:v>Decline of bryozoans and their replacement by a thriving cold-water coral community; coral development through time in response to sedimentation and water-mass changes.</x:v>
      </x:c>
      <x:c r="T123" s="7" t="str">
        <x:v>Deep-sea cold-water coral study that explicitly links sediment supply and grain-size changes to coral community establishment and development, providing ecological evidence for sediment effects on cold-water corals (B01).</x:v>
      </x:c>
      <x:c r="U123" s="7" t="str">
        <x:v>This record is a primary research article on cold-water corals in the Alboran Sea. It explicitly evaluates sediment-related processes: changes in fluvial input and sediment grain size are linked to a shift from bryozoan to cold-water coral dominance. The abstract states that 'increasing fluvial input could have been a main factor triggering the establishment of cold-water corals,' directly connecting sediment delivery to a biological response. This meets B01 because it provides deep/cold-water coral evidence with an explicit sediment pathway and ecological impact. The closest alternative would be CHAIN_ONLY, but this is not merely a reference source; it presents substantive sediment-impact evidence for corals. It is not B02 because it is a research article, not a review/assessment. Therefore, TIER_B_INCLUDE is appropriate.</x:v>
      </x:c>
      <x:c r="V123" s="7" t="str">
        <x:v>ALL_VERIFIED_CENTRAL_PEER_REVIEWED</x:v>
      </x:c>
      <x:c r="W123" s="7" t="str">
        <x:v>TBV1-1372</x:v>
      </x:c>
    </x:row>
    <x:row r="124" ht="42" customHeight="1">
      <x:c r="A124" s="17" t="str">
        <x:v>B</x:v>
      </x:c>
      <x:c r="B124" s="7" t="str">
        <x:v>CWC-3B3F2815C05C</x:v>
      </x:c>
      <x:c r="C124" s="7" t="str">
        <x:v>Cold-Water Corals and Anthropogenic Impacts in La Fonera Submarine Canyon Head, Northwestern Mediterranean Sea</x:v>
      </x:c>
      <x:c r="D124" s="7" t="str">
        <x:v>Galderic Lastras | Miquel Canals | Enric Ballesteros | Josep María Gili | Anna Sànchez‐Vidal</x:v>
      </x:c>
      <x:c r="E124" s="11" t="str">
        <x:v>2016</x:v>
      </x:c>
      <x:c r="F124" s="7" t="str">
        <x:v>PLoS ONE</x:v>
      </x:c>
      <x:c r="G124" s="7" t="str">
        <x:v>article</x:v>
      </x:c>
      <x:c r="H124" s="7" t="str">
        <x:v>10.1371/journal.pone.0155729</x:v>
      </x:c>
      <x:c r="I124" s="7" t="str">
        <x:v>https://doi.org/10.1371/journal.pone.0155729</x:v>
      </x:c>
      <x:c r="J124" s="7" t="str">
        <x:v>We assess the occurrence and extent of cold-water coral (CWC) species Madrepora oculata and Dendrophyllia cornigera, as well as gorgonian red coral Corallium rubrum, in La Fonera canyon head (Northwestern Mediterranean Sea), as well as human impacts taking place in their habitats. Occurrence is assessed based on Remotely Operated Vehicle (ROV) video imaging. Terrain classification techniques are applied to high-resolution swath bathymetric data to obtain semi-automatic interpretative maps to identify the relationship between coral distribution patterns and canyon environments. A total of 21 ROV immersions were carried out in different canyon environments at depths ranging between 79 and 401 m. Large, healthy colonies of M. oculata occur on abrupt, protected, often overhanging, rocky sections of the canyon walls, especially in Illa Negra branch. D. cornigera is sparser and evenly distributed at depth, on relatively low sloping areas, in rocky but also partially sedimented areas. C. rubrum is most frequent between 100 and 160 m on highly sloping rocky areas. The probable extent of CWC habitats is quantified by applying a maximum entropy model to predict habitat suitability: 0.36 km(2) yield M. oculata occurrence probabilities over 70%. Similar predictive models have been produced for D. cornigera and C. rubrum. All ROV transects document either the presence of litter on the seafloor or pervasive trawling marks. Nets and longlines are imaged entangled on coral colonies. Coral rubble is observed at the foot of impacted colonies. Some colonies are partially covered by sediment that could be the result of the resuspension generated by bottom trawling on neighbouring fishing grounds, which has been demonstrated to be responsible of daily increases in sediment fluxes within the canyon. The characteristics of the CWC community in La Fonera canyon are indicative that it withstands high environmental stress of both natural and human origin.</x:v>
      </x:c>
      <x:c r="K124" s="11" t="str">
        <x:v>YES</x:v>
      </x:c>
      <x:c r="L124" s="7" t="str">
        <x:v>FROZEN_PUBLIC_FULL_TEXT_LOCATION</x:v>
      </x:c>
      <x:c r="M124" s="7" t="str">
        <x:v>https://journals.plos.org/plosone/article/file?id=10.1371/journal.pone.0155729&amp;type=printable</x:v>
      </x:c>
      <x:c r="N124" s="7" t="str">
        <x:v>VERIFIED_DOI_DOCUMENT</x:v>
      </x:c>
      <x:c r="O124" s="7" t="str">
        <x:v>B01_DEEP_COLD_SEDIMENT_EVIDENCE</x:v>
      </x:c>
      <x:c r="P124" s="11" t="str">
        <x:v>HIGH</x:v>
      </x:c>
      <x:c r="Q124" s="7" t="str">
        <x:v>Cold-water corals Madrepora oculata, Dendrophyllia cornigera, and gorgonian Corallium rubrum in La Fonera canyon, NW Mediterranean.</x:v>
      </x:c>
      <x:c r="R124" s="7" t="str">
        <x:v>Sediment resuspension from bottom trawling on neighboring fishing grounds; corals partially covered by sediment; litter and fishing gear entangled on colonies.</x:v>
      </x:c>
      <x:c r="S124" s="7" t="str">
        <x:v>Coral rubble at foot of impacted colonies; partial sediment cover; inferred stress from increased sediment fluxes; documentation of human impacts in coral habitats.</x:v>
      </x:c>
      <x:c r="T124" s="7" t="str">
        <x:v>Provides direct evidence of sediment-related disturbance (resuspension, partial burial) affecting deep-sea cold-water corals, with impact observations and contextual assessment of anthropogenic stressors.</x:v>
      </x:c>
      <x:c r="U124" s="7" t="str">
        <x:v>The study documents cold-water coral occurrence and human impacts, explicitly linking bottom trawling resuspension to increased sediment fluxes and partial sediment coverage of corals. This meets B01 as deep/cold sediment evidence with clear biological/ecological impact evidence (rubble, stress). It is not merely distribution mapping; it assesses impacts. Closest alternative B02 (review/assessment) is less fitting because this is a primary research article. Confidence high because abstract explicitly states sediment cover and resuspension impact.</x:v>
      </x:c>
      <x:c r="V124" s="7" t="str">
        <x:v>ALL_VERIFIED_CENTRAL_PEER_REVIEWED</x:v>
      </x:c>
      <x:c r="W124" s="7" t="str">
        <x:v>TBV1-0070</x:v>
      </x:c>
    </x:row>
    <x:row r="125" ht="42" customHeight="1">
      <x:c r="A125" s="17" t="str">
        <x:v>B</x:v>
      </x:c>
      <x:c r="B125" s="7" t="str">
        <x:v>CWC-57848750F543</x:v>
      </x:c>
      <x:c r="C125" s="7" t="str">
        <x:v>A comparative study of the effects of sedimentation on symbiotic and asymbiotic colonies of the coral Astrangiadanae Milne Edwards and Haime 1849</x:v>
      </x:c>
      <x:c r="D125" s="7" t="str">
        <x:v>Esther C. Peters | Michael E. Q. Pilson</x:v>
      </x:c>
      <x:c r="E125" s="11" t="str">
        <x:v>1985</x:v>
      </x:c>
      <x:c r="F125" s="7" t="str">
        <x:v>Journal of Experimental Marine Biology and Ecology</x:v>
      </x:c>
      <x:c r="G125" s="7" t="str">
        <x:v>article</x:v>
      </x:c>
      <x:c r="H125" s="7" t="str">
        <x:v>10.1016/0022-0981(85)90096-6</x:v>
      </x:c>
      <x:c r="I125" s="7" t="str">
        <x:v>https://doi.org/10.1016/0022-0981(85)90096-6</x:v>
      </x:c>
      <x:c r="J125" s="7" t="str">
        <x:v>Abstract The effect of heavy sedimentation on corals was examined in the laboratory using both symbiotic and asymbiotic colonies of Astrangia danae Milne Edwards and Haime. Colonies receiving applications of clean fine sand at a rate of 200mg·cm −2 once per day for 4 wk were not different from controls with respect to symbiotic index, colony weights, growth rates, or net oxygen exchange rates. Slight adverse effects relative to controls were noted after increasing the sand applications to three times per day, which became more evident during a 2-wk period of starvation combined with the sand applications. Starved symbiotic colonies were more susceptible than starved asymbiotic colonies to the sediment loading. After the starvation period, sediment-exposed colonies processed for histopathological examination revealed loss of mucous secretory cells in the epidermis, compared to starved controls, along with an increase in mucoid material accumulations in the gastrodermis and calicoblastic epithelium. These results are consistent with previous field observations that sediment loading is harmful to stony corals. However, damage may be minimal as long as adequate nutrients, from either internal (zooxanthellae) or external (Zooplankton, particulates) sources, are available to the coral animal to meet the additional energy expenditures required to rid themselves of sediment.</x:v>
      </x:c>
      <x:c r="K125" s="11" t="str">
        <x:v>YES</x:v>
      </x:c>
      <x:c r="L125" s="7" t="str">
        <x:v>FROZEN_PUBLIC_FULL_TEXT_LOCATION</x:v>
      </x:c>
      <x:c r="M125" s="7" t="str">
        <x:v>https://digitalcommons.uri.edu/nrs_facpubs/705</x:v>
      </x:c>
      <x:c r="N125" s="7" t="str">
        <x:v>VERIFIED_DOI_DOCUMENT</x:v>
      </x:c>
      <x:c r="O125" s="7" t="str">
        <x:v>B03_NON_TROPICAL_DIRECT_MECHANISM</x:v>
      </x:c>
      <x:c r="P125" s="11" t="str">
        <x:v>HIGH</x:v>
      </x:c>
      <x:c r="Q125" s="7" t="str">
        <x:v>Astrangia danae, a temperate stony coral, studied in both symbiotic and asymbiotic colonies.</x:v>
      </x:c>
      <x:c r="R125" s="7" t="str">
        <x:v>Laboratory applications of clean fine sand at 200 mg/cm² once/day, increased to three times/day, including combined starvation periods.</x:v>
      </x:c>
      <x:c r="S125" s="7" t="str">
        <x:v>Measured symbiont index, colony weight, growth rates, net oxygen exchange, and histopathology; initial loading showed no marked differences, higher loading caused slight adverse effects and starvation increased susceptibility; histology revealed loss of mucous secretory cells and mucoid accumulations.</x:v>
      </x:c>
      <x:c r="T125" s="7" t="str">
        <x:v>Direct experimental test of sediment exposure on a non-tropical coral, reporting multiple biological responses relevant to sediment impacts.</x:v>
      </x:c>
      <x:c r="U125" s="7" t="str">
        <x:v>This is a clear direct-mechanism study on a temperate coral (Astrangia danae) explicitly testing sedimentation effects. The abstract documents both physiological (growth, oxygen exchange) and histological responses to sediment loading, including interaction with nutritional stress. It qualifies under B03 (non-tropical direct mechanism) because the species is shallow-water temperate, not deep-sea/cold-water (B01) or tropical (B04). The response evidence is substantive, so it is not merely a mention of sediment; it is the core experimental variable. Therefore, TIER_B_INCLUDE is appropriate, with high confidence and no need for full text.</x:v>
      </x:c>
      <x:c r="V125" s="7" t="str">
        <x:v>ALL_VERIFIED_NON_TROPICAL_TIER_B_INCLUSIONS</x:v>
      </x:c>
      <x:c r="W125" s="7" t="str">
        <x:v>TBV1-0166</x:v>
      </x:c>
    </x:row>
    <x:row r="126" ht="42" customHeight="1">
      <x:c r="A126" s="17" t="str">
        <x:v>B</x:v>
      </x:c>
      <x:c r="B126" s="7" t="str">
        <x:v>CWC-1BD650C2C691</x:v>
      </x:c>
      <x:c r="C126" s="7" t="str">
        <x:v>COMPOSITION AND BIOLOGICAL IMPLICATIONS OF A NEPHELOID LAYER OVER THE INNER AGULHAS BANK NEAR MOSSEL BAY, SOUTH AFRICA</x:v>
      </x:c>
      <x:c r="D126" s="7" t="str">
        <x:v>P. Zoutendyk | Ian R Duvenage</x:v>
      </x:c>
      <x:c r="E126" s="11" t="str">
        <x:v>1989</x:v>
      </x:c>
      <x:c r="F126" s="7" t="str">
        <x:v>Transactions of the Royal Society of South Africa</x:v>
      </x:c>
      <x:c r="G126" s="7" t="str">
        <x:v>article</x:v>
      </x:c>
      <x:c r="H126" s="7" t="str">
        <x:v>10.1080/00359198909520162</x:v>
      </x:c>
      <x:c r="I126" s="7" t="str">
        <x:v>https://doi.org/10.1080/00359198909520162</x:v>
      </x:c>
      <x:c r="J126" s="7" t="str">
        <x:v>Water from the nepheoid layer associated with the mud belts on the inner Agulhas Bank near Mossel Bay contained a concentration of 19,0 mg.cntdot.l-1 total suspened particulate matter. Particulate organic matter (POM) formed only 7 per cent of this and was 3-4 times less than that of comparable coastal waters. Particle size distribution was skewed to the lower size range with a peak at 30 .mu.m. With the aid of the Shields curve for incipient motion of fine sediment, grain sizes that would be entrained from the bottom by orbital velocities resulting from waves were calcuated; such grains will be present over the mud belts for most of the year. Considerable differences in community structure between two reef systems at the same depth were recorded and may be attributed to nepheloid water. Where turbidity was high, macrophyte cover amounted to only 0,3 gC.cntdot.m-2 compared with 111 gC.m-2 in the absence of nepheloid water. Nepheloid water also affected filter-feeders; Porifera appeared to benefit from the percentage of POM falling into the correct size range, while other groups, e.g. tunicates appeared to be affected adversely by the high inorganic fraction. Particulate organic carbon (POC) requirements of reef filter feeders of 467 mgC.cntdot.m-2.cntdot.d-1 appear fulfilled by nepheloid POC of 670 mg POC.cntdot.m-3.</x:v>
      </x:c>
      <x:c r="K126" s="11" t="str">
        <x:v>NO</x:v>
      </x:c>
      <x:c r="L126" s="7" t="str">
        <x:v>NOT_CONFIRMED</x:v>
      </x:c>
      <x:c r="M126" s="7" t="str"/>
      <x:c r="N126" s="7" t="str">
        <x:v>VERIFIED_DOI_DOCUMENT</x:v>
      </x:c>
      <x:c r="O126" s="7" t="str">
        <x:v>B03_NON_TROPICAL_DIRECT_MECHANISM</x:v>
      </x:c>
      <x:c r="P126" s="11" t="str">
        <x:v>HIGH</x:v>
      </x:c>
      <x:c r="Q126" s="7" t="str">
        <x:v>Porifera (sponges) and other reef filter feeders such as tunicates on the inner Agulhas Bank reef systems.</x:v>
      </x:c>
      <x:c r="R126" s="7" t="str">
        <x:v>Nepheloid layer water with total suspended particulate matter concentration of 19.0 mg/l, high inorganic fraction, particulate organic matter forming only 7%, and particle size distribution peaking at 30 μm.</x:v>
      </x:c>
      <x:c r="S126" s="7" t="str">
        <x:v>Community structure differences between two reef systems attributed to nepheloid water; Porifera appeared to benefit from POM in the correct size range while tunicates were adversely affected by the high inorganic fraction; POC requirements of reef filter feeders were fulfilled by nepheloid POC.</x:v>
      </x:c>
      <x:c r="T126" s="7" t="str">
        <x:v>Direct field study of sediment/turbidity exposure in a temperate (non-tropical) bank system, reporting biological responses for sponges and other filter feeders.</x:v>
      </x:c>
      <x:c r="U126" s="7" t="str">
        <x:v>This article directly examines a nepheloid layer over the Agulhas Bank and its biological implications for reef communities, including Porifera and tunicates. The sediment pathway is explicit: suspended particulate matter, turbidity, and POM/inorganic fractions. Responses are community-level and taxa-specific: sponges benefited from POM size range while tunicates were adversely affected by the inorganic fraction. This is a non-tropical sponge study (B03), not merely a mention of turbidity; it measures sediment exposure and biological response. Excluded alternatives: B04 is tropical only, and B01/B02 are deep/cold-water; here it's a temperate shelf bank.</x:v>
      </x:c>
      <x:c r="V126" s="7" t="str">
        <x:v>ALL_VERIFIED_NON_TROPICAL_TIER_B_INCLUSIONS</x:v>
      </x:c>
      <x:c r="W126" s="7" t="str">
        <x:v>TBV1-0251</x:v>
      </x:c>
    </x:row>
    <x:row r="127" ht="42" customHeight="1">
      <x:c r="A127" s="17" t="str">
        <x:v>B</x:v>
      </x:c>
      <x:c r="B127" s="7" t="str">
        <x:v>CWC-17DD3B7BCE9D</x:v>
      </x:c>
      <x:c r="C127" s="7" t="str">
        <x:v>Control of Deep Currents on Sediment and Cold-Water Coral Distribution on the Northern Manihiki Plateau</x:v>
      </x:c>
      <x:c r="D127" s="7" t="str">
        <x:v>Sara Bashah | Kimberly Galvez | Gregor P. Eberli | Kasey Cantwell</x:v>
      </x:c>
      <x:c r="E127" s="11" t="str">
        <x:v>2020</x:v>
      </x:c>
      <x:c r="F127" s="7" t="str">
        <x:v>Frontiers in Marine Science</x:v>
      </x:c>
      <x:c r="G127" s="7" t="str">
        <x:v>article</x:v>
      </x:c>
      <x:c r="H127" s="7" t="str">
        <x:v>10.3389/fmars.2020.00288</x:v>
      </x:c>
      <x:c r="I127" s="7" t="str">
        <x:v>https://doi.org/10.3389/fmars.2020.00288</x:v>
      </x:c>
      <x:c r="J127" s="7" t="str">
        <x:v>High-definition video surveys of remotely-operated vehicle (ROV) dives from the NOAA's Mountains in the Deep 2017 expedition (EX1705) along volcanic ridges and seamounts of the Manihiki Plateau coupled with multibeam bathymetry data and water column profiles, reveal no or minimal sediment cover on the basaltic edifice, but variable amounts of cold-water corals on ferromanganese-encrusted basaltic rocks. Coarse sediment, however, accumulates in crevasses and sedimentary ripples testify the existence of currents in the area. Collectively, these observations illustrate the strong influence of deep currents on the surficial geology and cold-water coral distribution at similar to 2,000 m water depths. Dive transects along two basaltic seamounts show stark differences of sedimentary features and cold-water coral distribution. On the ridges of "Te Kawhiti" (water depth: 2,089-2,220 m), basaltic slabs, and cold-water corals are far more abundant in comparison to the slope of a mesa in "Te Tuku" (water depth: 2,440-2,495 m). The increased abundance on "Te Kawhiti" is due to the exposure of "Te Kawhiti" to Lower Circumpolar Deep Water that sweeps the summit of the ridges as indicated by frequent ripples observed in between the basaltic rocks. The currents are strong enough to sweep fine-grained sediments away, leaving coarse-grained sediments behind, inducing the formation of ferromanganese crust on the basaltic rocks. Both dive sites are below the high-Mg calcite saturation horizon, and as a result, the cold-water coral community is dominated by Isididae, which can build a high-Mg calcite skeleton in water undersaturated in regards to high-Mg calcite.</x:v>
      </x:c>
      <x:c r="K127" s="11" t="str">
        <x:v>YES</x:v>
      </x:c>
      <x:c r="L127" s="7" t="str">
        <x:v>FROZEN_PUBLIC_FULL_TEXT_LOCATION</x:v>
      </x:c>
      <x:c r="M127" s="7" t="str"/>
      <x:c r="N127" s="7" t="str">
        <x:v>VERIFIED_DOI_DOCUMENT</x:v>
      </x:c>
      <x:c r="O127" s="7" t="str">
        <x:v>B01_DEEP_COLD_SEDIMENT_EVIDENCE</x:v>
      </x:c>
      <x:c r="P127" s="11" t="str">
        <x:v>HIGH</x:v>
      </x:c>
      <x:c r="Q127" s="7" t="str">
        <x:v>Cold-water corals, specifically Isididae, on basaltic seamounts of the Manihiki Plateau.</x:v>
      </x:c>
      <x:c r="R127" s="7" t="str">
        <x:v>Deep currents controlling sediment cover and distribution, sweeping fine sediments away and leaving coarse sediments.</x:v>
      </x:c>
      <x:c r="S127" s="7" t="str">
        <x:v>Coral abundance and distribution differ between sites with contrasting sedimentary regimes; increased abundance on Te Kawhiti where currents sweep fine sediment.</x:v>
      </x:c>
      <x:c r="T127" s="7" t="str">
        <x:v>Deep-sea cold-water coral study with explicit sediment pathway (current-controlled sediment cover) and ecological evidence of coral distribution. This fits B01.</x:v>
      </x:c>
      <x:c r="U127" s="7" t="str">
        <x:v>This is a deep-sea cold-water coral study that directly links sediment distribution to coral abundance. The abstract clearly describes how deep currents influence sediment cover, leaving coarse sediments in some areas, and associates this with greater coral abundance. This constitutes biological/ecological evidence of a sediment-related effect on cold-water corals. The study is substantive (peer-reviewed article) and qualifies under B01_DEEP_COLD_SEDIMENT_EVIDENCE. It is not merely a geological or distribution study because the coral response is explicitly linked to sedimentary processes. The closest alternative would be exclusion for lacking a direct sediment stressor, but the current-driven sediment regime is an explicit pathway affecting coral habitat. Therefore, inclusion is appropriate.</x:v>
      </x:c>
      <x:c r="V127" s="7" t="str">
        <x:v>ALL_VERIFIED_CENTRAL_PEER_REVIEWED</x:v>
      </x:c>
      <x:c r="W127" s="7" t="str">
        <x:v>TBV1-0004</x:v>
      </x:c>
    </x:row>
    <x:row r="128" ht="42" customHeight="1">
      <x:c r="A128" s="17" t="str">
        <x:v>B</x:v>
      </x:c>
      <x:c r="B128" s="7" t="str">
        <x:v>CWC-FE2F7AECE283</x:v>
      </x:c>
      <x:c r="C128" s="7" t="str">
        <x:v>Coral &amp; Sponge Conservation Strategy for Eastern Canada 2015</x:v>
      </x:c>
      <x:c r="D128" s="7" t="str"/>
      <x:c r="E128" s="11" t="str">
        <x:v>2015</x:v>
      </x:c>
      <x:c r="F128" s="7" t="str">
        <x:v>Fisheries and Oceans Canada</x:v>
      </x:c>
      <x:c r="G128" s="7" t="str">
        <x:v>government_report</x:v>
      </x:c>
      <x:c r="H128" s="7" t="str"/>
      <x:c r="I128" s="7" t="str">
        <x:v>https://www.dfo-mpo.gc.ca/oceans/publications/cs-ce/index-eng.html</x:v>
      </x:c>
      <x:c r="J128" s="7" t="str">
        <x:v>Drilling units, pipelines and production facilities can affect coral and sponge populations. Sediment disturbance can increase turbidity in the water which has a negative impact on both corals and sponges. Physical damage or displacement can occur as a result of anchoring or mooring vessels near the production platform (DFO 2010a). Also, there is the potential for drill cuttings to smother corals and sponges (Roberts et al. 2009; Lumsden et al. 2007) and accidental releases of oil and gas [...] The number of corals identified in eastern Canadian waters is approaching 60 species (V. Wareham Per</x:v>
      </x:c>
      <x:c r="K128" s="11" t="str">
        <x:v>YES</x:v>
      </x:c>
      <x:c r="L128" s="7" t="str">
        <x:v>FROZEN_PUBLIC_FULL_TEXT_LOCATION</x:v>
      </x:c>
      <x:c r="M128" s="7" t="str">
        <x:v>http://www.dfo-mpo.gc.ca/oceans/publications/cs-ce/index-eng.html</x:v>
      </x:c>
      <x:c r="N128" s="7" t="str">
        <x:v>VERIFIED_BIBLIOGRAPHIC_DOCUMENT</x:v>
      </x:c>
      <x:c r="O128" s="7" t="str">
        <x:v>B02_DEEP_COLD_REVIEW_ASSESSMENT</x:v>
      </x:c>
      <x:c r="P128" s="11" t="str">
        <x:v>HIGH</x:v>
      </x:c>
      <x:c r="Q128" s="7" t="str">
        <x:v>Corals and sponges in eastern Canadian waters, with nearly 60 coral species.</x:v>
      </x:c>
      <x:c r="R128" s="7" t="str">
        <x:v>Sediment disturbance increasing turbidity, drill cuttings smothering, physical displacement from anchoring.</x:v>
      </x:c>
      <x:c r="S128" s="7" t="str">
        <x:v>Negative impacts on corals and sponges, smothering potential, conservation strategy context.</x:v>
      </x:c>
      <x:c r="T128" s="7" t="str">
        <x:v>Substantive government report focused on coral and sponge conservation with direct sediment-impact content, including turbidity and drill cuttings smothering, qualifying as a review/assessment with potential to inform effects, exposure, thresholds, vulnerability, mitigation, or recovery.</x:v>
      </x:c>
      <x:c r="U128" s="7" t="str">
        <x:v>This Fisheries and Oceans Canada conservation strategy specifically addresses corals and sponges in eastern Canada. The abstract explicitly links sediment disturbance to increased turbidity and negative impacts on corals and sponges, and discusses drill cuttings smothering potential. This is a substantive government report with a direct sediment-impact focus, meeting the B02 deep/cold review/assessment criterion. The closest alternative would be B01, which concerns primary evidence; this is a higher-level conservation strategy document, so B02 is more appropriate. The document is clearly within scope as a deep/cold coral and sponge report. Confidence is high because the abstract provides explicit sediment-related impact content.</x:v>
      </x:c>
      <x:c r="V128" s="7" t="str">
        <x:v>ALL_VERIFIED_CSAS</x:v>
      </x:c>
      <x:c r="W128" s="7" t="str">
        <x:v>TBV1-0073</x:v>
      </x:c>
    </x:row>
    <x:row r="129" ht="42" customHeight="1">
      <x:c r="A129" s="17" t="str">
        <x:v>B</x:v>
      </x:c>
      <x:c r="B129" s="7" t="str">
        <x:v>GLV4-71527C456C2D</x:v>
      </x:c>
      <x:c r="C129" s="7" t="str">
        <x:v>Coral Conservation Plan - Canada.ca</x:v>
      </x:c>
      <x:c r="D129" s="7" t="str"/>
      <x:c r="E129" s="11" t="str"/>
      <x:c r="F129" s="7" t="str">
        <x:v>waves-vagues.dfo-mpo.gc.ca</x:v>
      </x:c>
      <x:c r="G129" s="7" t="str">
        <x:v>report</x:v>
      </x:c>
      <x:c r="H129" s="7" t="str"/>
      <x:c r="I129" s="7" t="str">
        <x:v>https://waves-vagues.dfo-mpo.gc.ca/library-bibliotheque/322312.pdf</x:v>
      </x:c>
      <x:c r="J129" s="7" t="str">
        <x:v>Offshore Petroleum Board (CNSOPB) regulates petroleum activities in Nova Scotia’s offshore. Environmental assessments are conducted in advance of activities to assess potential impact on ecosystem components within the area of their proposed operations. Ecosystem components include special areas and species. Corals are often assessed as an individual Valued Ecosystem Component (VEC) or as a component of the benthic habitat VEC within environmental assessments of drilling operations. Benthic habitat assessments are either done by sample collection, ROV surveys, or extrapolation of data collecte</x:v>
      </x:c>
      <x:c r="K129" s="11" t="str">
        <x:v>YES</x:v>
      </x:c>
      <x:c r="L129" s="7" t="str">
        <x:v>PUBLIC_FULL_DOCUMENT_LOCATION</x:v>
      </x:c>
      <x:c r="M129" s="7" t="str">
        <x:v>https://waves-vagues.dfo-mpo.gc.ca/library-bibliotheque/322312.pdf</x:v>
      </x:c>
      <x:c r="N129" s="7" t="str">
        <x:v>VERIFIED_DIRECT_DOCUMENT_URL</x:v>
      </x:c>
      <x:c r="O129" s="7" t="str">
        <x:v>B02_DEEP_COLD_REVIEW_ASSESSMENT</x:v>
      </x:c>
      <x:c r="P129" s="11" t="str">
        <x:v>MEDIUM</x:v>
      </x:c>
      <x:c r="Q129" s="7" t="str">
        <x:v>Corals, likely deep-sea/cold-water species in Canadian offshore waters, assessed as a Valued Ecosystem Component (VEC).</x:v>
      </x:c>
      <x:c r="R129" s="7" t="str">
        <x:v>Drilling operations, which can generate drill cuttings and drilling muds causing sediment disturbance and deposition.</x:v>
      </x:c>
      <x:c r="S129" s="7" t="str">
        <x:v>Environmental assessments evaluate potential impacts on corals and benthic habitat; the conservation plan provides a framework for management and mitigation.</x:v>
      </x:c>
      <x:c r="T129" s="7" t="str">
        <x:v>Substantive government report/assessment by DFO with a likely focus on sediment-related impacts from offshore drilling on corals, directly relevant to sediment exposure, effects, and mitigation.</x:v>
      </x:c>
      <x:c r="U129" s="7" t="str">
        <x:v>This DFO report is a coral conservation plan for Canadian offshore waters. The abstract explicitly links corals to environmental assessments of drilling operations, which involve sediment disturbance from drill cuttings and muds. The document likely assesses impacts, discusses mitigation, and provides a management context. This qualifies as a substantive government assessment/review with a direct sediment-impact focus, fitting B02. Alternative B01 would require biological/impact evidence, which is not visible in the snippet; CHAIN_ONLY is unnecessary because the record itself has direct coral-sediment relevance.</x:v>
      </x:c>
      <x:c r="V129" s="7" t="str">
        <x:v>ALL_VERIFIED_CSAS</x:v>
      </x:c>
      <x:c r="W129" s="7" t="str">
        <x:v>TBV1-0542</x:v>
      </x:c>
    </x:row>
    <x:row r="130" ht="42" customHeight="1">
      <x:c r="A130" s="17" t="str">
        <x:v>B</x:v>
      </x:c>
      <x:c r="B130" s="7" t="str">
        <x:v>GLV4-7EA12443CBBD</x:v>
      </x:c>
      <x:c r="C130" s="7" t="str">
        <x:v>Coral Consultation Framework NOAA Fisheries Southeast</x:v>
      </x:c>
      <x:c r="D130" s="7" t="str"/>
      <x:c r="E130" s="11" t="str">
        <x:v>2022</x:v>
      </x:c>
      <x:c r="F130" s="7" t="str">
        <x:v>media.fisheries.noaa.gov</x:v>
      </x:c>
      <x:c r="G130" s="7" t="str">
        <x:v>report</x:v>
      </x:c>
      <x:c r="H130" s="7" t="str"/>
      <x:c r="I130" s="7" t="str">
        <x:v>https://media.fisheries.noaa.gov/2022-09/Coral-Species-Framework.pdf</x:v>
      </x:c>
      <x:c r="J130" s="7" t="str">
        <x:v>to prevent sediments from traveling and depositing on the corals Artificial Reef LAA Sedimentation Adult, Juvenile LAA Turbidity All life stages NLAA Direct physical impacts Adult, Juvenile Must follow artificial reef guidelines NLAA Sedimentation Adult, Juvenile Distance from corals, use of turbidity controls to prevent sediments from traveling and depositing on the corals NLAA Turbidity All life stages Distance from corals, use of turbidity controls U.S. Department of Commerce | National Oceanic and Atmospheric Administration | National Marine Fisheries Service 24 Activity Potential Effect D</x:v>
      </x:c>
      <x:c r="K130" s="11" t="str">
        <x:v>YES</x:v>
      </x:c>
      <x:c r="L130" s="7" t="str">
        <x:v>PUBLIC_FULL_DOCUMENT_LOCATION</x:v>
      </x:c>
      <x:c r="M130" s="7" t="str">
        <x:v>https://media.fisheries.noaa.gov/2022-09/Coral-Species-Framework.pdf</x:v>
      </x:c>
      <x:c r="N130" s="7" t="str">
        <x:v>VERIFIED_DIRECT_DOCUMENT_URL</x:v>
      </x:c>
      <x:c r="O130" s="7" t="str">
        <x:v>B02_DEEP_COLD_REVIEW_ASSESSMENT</x:v>
      </x:c>
      <x:c r="P130" s="11" t="str">
        <x:v>MEDIUM</x:v>
      </x:c>
      <x:c r="Q130" s="7" t="str">
        <x:v>Corals (likely including deep-sea coral species within NOAA Fisheries Southeast region)</x:v>
      </x:c>
      <x:c r="R130" s="7" t="str">
        <x:v>Sedimentation, turbidity, sediments traveling and depositing on corals; direct physical impacts from activities such as artificial reefs</x:v>
      </x:c>
      <x:c r="S130" s="7" t="str">
        <x:v>Assessment of effects on adults, juveniles, and all life stages; impacts include sedimentation and turbidity with mitigation measures (e.g., distance from corals, turbidity controls)</x:v>
      </x:c>
      <x:c r="T130" s="7" t="str">
        <x:v>B02_DEEP_COLD_REVIEW_ASSESSMENT - Substantive government regulatory assessment (NOAA Fisheries consultation framework) with direct sediment-impact focus and clear potential to inform effects, exposure, thresholds, vulnerability, mitigation, or recovery for corals.</x:v>
      </x:c>
      <x:c r="U130" s="7" t="str">
        <x:v>The document is a NOAA Fisheries Southeast coral consultation framework, a substantive regulatory assessment. The snippet explicitly addresses sediment pathways: preventing sediments from depositing on corals, sedimentation, turbidity, and direct physical impacts, with effects on adults, juveniles, and all life stages. This meets B02 as a regulatory assessment with direct sediment-impact focus. The closest alternative is B05, but the document is specifically coral-focused rather than a broad across-taxa sediment synthesis. It is included with MEDIUM confidence because the snippet does not explicitly state deep/cold versus tropical, but the Southeast region includes deep-sea corals and the framework's sediment impact information is relevant.</x:v>
      </x:c>
      <x:c r="V130" s="7" t="str">
        <x:v>ALL_VERIFIED_NON_TROPICAL_TIER_B_INCLUSIONS</x:v>
      </x:c>
      <x:c r="W130" s="7" t="str">
        <x:v>TBV1-0487</x:v>
      </x:c>
    </x:row>
    <x:row r="131" ht="42" customHeight="1">
      <x:c r="A131" s="17" t="str">
        <x:v>B</x:v>
      </x:c>
      <x:c r="B131" s="7" t="str">
        <x:v>CWC-2AC814A58B52</x:v>
      </x:c>
      <x:c r="C131" s="7" t="str">
        <x:v>Coral reefs of the turbid inner-shelf of the Great Barrier Reef, Australia: An environmental and geomorphic perspective on their occurrence, composition and growth</x:v>
      </x:c>
      <x:c r="D131" s="7" t="str">
        <x:v>Nicola K. Browne | S Smithers | Chris T. Perry</x:v>
      </x:c>
      <x:c r="E131" s="11" t="str">
        <x:v>2012</x:v>
      </x:c>
      <x:c r="F131" s="7" t="str">
        <x:v>Earth-Science Reviews</x:v>
      </x:c>
      <x:c r="G131" s="7" t="str">
        <x:v>article</x:v>
      </x:c>
      <x:c r="H131" s="7" t="str">
        <x:v>10.1016/j.earscirev.2012.06.006</x:v>
      </x:c>
      <x:c r="I131" s="7" t="str">
        <x:v>https://doi.org/10.1016/j.earscirev.2012.06.006</x:v>
      </x:c>
      <x:c r="J131" s="7" t="str">
        <x:v>Investigations of the geomorphic and sedimentary context in which turbid zone reefs exist, both in the modern and fossil reef record, can inform key ecological debates regarding species tolerances and adaptability to elevated turbidity and sedimentation. Furthermore, these investigations can address critical geological and palaeoecological questions surrounding longer-term coral-sediment interactions and reef growth histories. Here we review current knowledge about turbid zone reefs from the inner-shelf regions of the Great Barrier Reef (GBR) in Australia to consider these issues and to evaluate reef growth in the period prior to and post European settlement. We also consider the future prospects of these reefs under reported changing water quality regimes. Turbid zone reefs on the GBR are relatively well known compared to those in other reef regions. They occur within 20 km of the mainland coast where reef development may be influenced by continual or episodic terrigenous sediment inputs, fluctuating salinities (24-36 ppt), and reduced water quality through increased nutrient and pollutant delivery from urban and agricultural runoff. Individually, and in synergy, these environmental conditions are widely viewed as unfavourable for sustained and vigorous coral reef growth, and thus these reefs are widely perceived as marginal compared to clear water reef systems. However, recent research has revealed that this view is misleading, and that in fact many turbid zone reefs in this region are resilient, exhibit relatively high live coral cover (&gt;30%) and have distinctive community assemblages dominated by fast growing (Acropora, Montipora) and/or sediment tolerant species (Turbinaria, Goniopora, Galaxea, Porites). Palaeoecological reconstructions based on the analysis of reef cores show that community assemblages are relatively stable at millennial timescales, and that many reefs are actively accreting (average 2-7 mm/year) where accommodation space is available, despite recent anthropogenic pressures. These turbid zone reefs challenge traditional views on the environmental conditions required for active reef growth, but given their proximity to land and associated stresses, current knowledge on these less well understood reefs should be synthesised to aid coastal management directives. Terrigenous sediments are a dominant influence on turbid zone reef occurrence, composition and growth, and, therefore, the assessment of their future prospects will require a detailed understanding of the sedimentary regimes under which they occur and of their differential response modes. (C) 2012 Elsevier By. All rights reserved.</x:v>
      </x:c>
      <x:c r="K131" s="11" t="str">
        <x:v>NO</x:v>
      </x:c>
      <x:c r="L131" s="7" t="str">
        <x:v>NOT_CONFIRMED</x:v>
      </x:c>
      <x:c r="M131" s="7" t="str"/>
      <x:c r="N131" s="7" t="str">
        <x:v>VERIFIED_DOI_DOCUMENT</x:v>
      </x:c>
      <x:c r="O131" s="7" t="str">
        <x:v>B05_BROAD_SYNTHESIS_WITH_TARGET_EVIDENCE</x:v>
      </x:c>
      <x:c r="P131" s="11" t="str">
        <x:v>HIGH</x:v>
      </x:c>
      <x:c r="Q131" s="7" t="str">
        <x:v>Corals in turbid inner-shelf reefs of the Great Barrier Reef, including species such as Acropora, Montipora, Turbinaria, Goniopora, Galaxea, and Porites.</x:v>
      </x:c>
      <x:c r="R131" s="7" t="str">
        <x:v>Terrigenous sediment inputs, elevated turbidity, sedimentation, reduced water quality from urban and agricultural runoff.</x:v>
      </x:c>
      <x:c r="S131" s="7" t="str">
        <x:v>Review documents coral occurrence, composition, growth, live coral cover (&gt;30%), community assemblages, reef accretion rates (2-7 mm/year), resilience, and palaeoecological stability.</x:v>
      </x:c>
      <x:c r="T131" s="7" t="str">
        <x:v>This is a broad synthesis/assessment specifically focused on coral reefs and sediment/turbidity effects, providing separate coral evidence relevant to sediment impacts, including tolerances, community composition, and growth responses.</x:v>
      </x:c>
      <x:c r="U131" s="7" t="str">
        <x:v>The article is a substantive review of turbid inner-shelf coral reefs, explicitly addressing sediment and turbidity effects on coral occurrence, composition, and growth. It provides evidence on sediment-tolerant coral species, live cover, and accretion rates, making it directly relevant to Tier B. It is not a direct experimental or measurement study, so B04 does not apply; it fits B05 as a synthesis/assessment with clear coral sediment-impact evidence. The abstract is sufficient to confirm inclusion.</x:v>
      </x:c>
      <x:c r="V131" s="7" t="str">
        <x:v>ALL_VERIFIED_NON_TROPICAL_TIER_B_INCLUSIONS</x:v>
      </x:c>
      <x:c r="W131" s="7" t="str">
        <x:v>TBV1-1063</x:v>
      </x:c>
    </x:row>
    <x:row r="132" ht="42" customHeight="1">
      <x:c r="A132" s="17" t="str">
        <x:v>B</x:v>
      </x:c>
      <x:c r="B132" s="7" t="str">
        <x:v>CWC-EF3F8D07C4C6</x:v>
      </x:c>
      <x:c r="C132" s="7" t="str">
        <x:v>The CORAMM (Coral Risk Assessment, Monitoring and Modelling) Project</x:v>
      </x:c>
      <x:c r="D132" s="7" t="str">
        <x:v>Laurenz Thomsen | Raeid M. M. Abed | Elke Allers | Melanie Bergmann | Dirk de Beer | Sarah Johnsen | Frederik De Laender | Ann I. Larsson | Tomas Lundälv | Tim W. Nattkemper | Ingunn Nilssen | Dick van Oevelen | Jörg Ontrup | Autun Purser | I. Rønning | Mathijs G.D. Smit | Vikram Unnithan | Hannes Wagner | Tingting Wang</x:v>
      </x:c>
      <x:c r="E132" s="11" t="str">
        <x:v>2008</x:v>
      </x:c>
      <x:c r="F132" s="7" t="str">
        <x:v>Helmholtz-Zentrum für Polar-und Meeresforschung (Alfred-Wegener-Institut)</x:v>
      </x:c>
      <x:c r="G132" s="7" t="str">
        <x:v>conference-paper</x:v>
      </x:c>
      <x:c r="H132" s="7" t="str"/>
      <x:c r="I132" s="7" t="str">
        <x:v>https://epic.awi.de/id/eprint/19506/1/Tho2008e.pdf</x:v>
      </x:c>
      <x:c r="J132" s="7" t="str">
        <x:v>CORAMM aims to improve our knowledge of the impacts of high suspended sediment loads and drill cuttings on cold water coral communities. The project is multidisciplinary in approach, with sedimentologists, biologists, modellers and representatives from StatoilHydro all involved in furthering the current understanding of these ecosystems. CORAMM has 4 workpackages: WP1 concentrates on the development of novel video and image analysis tools to enable a better and faster evaluation of Lophelia pertusa community structure and health status. WP2 assembles and further develops sensor systems for environmental monitoring with special emphasis on particle dynamics. These systems can be used as autonomous stand-alone units or can be linked to the internet. WP3 carries out specific experiments with live coral colonies to elucidate and predict the effect of different particle size and microbial composition. WP4 will build advanced ecosystem models for cold water corals and use a physiologybased approach to predict the effect of different sediment loads on the performance of cold water corals. Here, we present the outcome of the first 18 months of research.</x:v>
      </x:c>
      <x:c r="K132" s="11" t="str">
        <x:v>NO</x:v>
      </x:c>
      <x:c r="L132" s="7" t="str">
        <x:v>NOT_CONFIRMED</x:v>
      </x:c>
      <x:c r="M132" s="7" t="str"/>
      <x:c r="N132" s="7" t="str">
        <x:v>VERIFIED_DIRECT_DOCUMENT_URL</x:v>
      </x:c>
      <x:c r="O132" s="7" t="str">
        <x:v>B02_DEEP_COLD_REVIEW_ASSESSMENT</x:v>
      </x:c>
      <x:c r="P132" s="11" t="str">
        <x:v>HIGH</x:v>
      </x:c>
      <x:c r="Q132" s="7" t="str">
        <x:v>Cold-water coral Lophelia pertusa; community structure and health status are central.</x:v>
      </x:c>
      <x:c r="R132" s="7" t="str">
        <x:v>High suspended sediment loads and drill cuttings; particle dynamics; sediment loads of different particle size and microbial composition.</x:v>
      </x:c>
      <x:c r="S132" s="7" t="str">
        <x:v>Monitoring tools (video/image analysis, sensors), experiments with live colonies, and ecosystem modeling to predict effects of sediment loads on coral performance; community health evaluation.</x:v>
      </x:c>
      <x:c r="T132" s="7" t="str">
        <x:v>Substantive conference paper/project report focused directly on sediment impacts on cold-water corals, with clear potential to inform effects, exposure, monitoring, and risk assessment.</x:v>
      </x:c>
      <x:c r="U132" s="7" t="str">
        <x:v>This is a substantive project paper explicitly addressing impacts of high suspended sediment loads and drill cuttings on cold-water coral communities. It describes workpackages that include monitoring community health, sensor development, experimental exposure of live colonies to particle size/microbial composition, and model-based prediction of sediment load effects. This directly qualifies under B02 as a deep/cold coral assessment/monitoring-focused document with a sediment-impact focus. It is not merely a search page or non-substantive webpage. Preferred over B01 because the abstract reports project outcomes rather than detailed biological response data; it is an assessment/project report. Excluded alternatives: no reason to exclude, and it is not chain-only because it has direct coral-sediment content.</x:v>
      </x:c>
      <x:c r="V132" s="7" t="str">
        <x:v>ALL_VERIFIED_NON_TROPICAL_TIER_B_INCLUSIONS</x:v>
      </x:c>
      <x:c r="W132" s="7" t="str">
        <x:v>TBV1-0064</x:v>
      </x:c>
    </x:row>
    <x:row r="133" ht="42" customHeight="1">
      <x:c r="A133" s="17" t="str">
        <x:v>B</x:v>
      </x:c>
      <x:c r="B133" s="7" t="str">
        <x:v>CWC-E507A2C5CF60</x:v>
      </x:c>
      <x:c r="C133" s="7" t="str">
        <x:v>Cytoskeletal architecture, organelle transport, and impulse conduction in hexactinellid sponge syncytia</x:v>
      </x:c>
      <x:c r="D133" s="7" t="str">
        <x:v>Sally P. Leys</x:v>
      </x:c>
      <x:c r="E133" s="11" t="str">
        <x:v>1996</x:v>
      </x:c>
      <x:c r="F133" s="7" t="str">
        <x:v>Library and Archives Canada (Government of Canada)</x:v>
      </x:c>
      <x:c r="G133" s="7" t="str">
        <x:v>dissertation</x:v>
      </x:c>
      <x:c r="H133" s="7" t="str"/>
      <x:c r="I133" s="7" t="str">
        <x:v>http://www.collectionscanada.ca/obj/s4/f2/dsk2/tape16/PQDD_0007/NQ32755.pdf</x:v>
      </x:c>
      <x:c r="J133" s="7" t="str">
        <x:v>Hexactinellid sponges differ substantially from other sponges in having syncytial tissues and the ability to propagate signals rapidly, causing the arrest of the feeding current. To confirm existing light and electron microscopic evidence of the syncytial nature of hexactinellid tissue, live tissue models were developed from Rhabdocalyptus dawsoni and Aphrocallistes vastus. A native acellular tissue extract (ATE) was made from the sponges to which dissociated tissue adhered and spread in a species specific fashion. Video microscopy shows that dissociated tissue from R. dawsoni adheres to the ATE and aggregates by fusion of pieces to form a giant, multinucleated syncytium. Fusion, corroborated by dye exchange, is characterized by the bidirectional transport of organelles, including nuclei, and bulk cytoplasm at an average rate of 2.1 um·S⁻¹. Stress fibres line the periphery of adherent preparations, and giant actindense filopodia appear to anchor tissue to the substrate. Bundles of microtubules (MTs) bridge newly fused aggregates while extensive tracts of MT bundles are oriented in all directions in larger aggregates. Aggregates can become several centimetres in diameter and can cover a 5 cm² petri dish within 6-12 hours. Inhibition of organelle motility by colcemid and nocodazole but not by cytochalasin B suggests that transport occurs along MT bundles. A protein immunoreactive with cytoplasmic dynein was identified in whole cell lysate from A. vastus, and it is suspected the same motor protein exists in R. dawsoni and other hexactinellids. No evidence was found for kinesin, although its presence cannot be ruled out. Ultrastructural evidence suggests that a membranous network may be involved in linking bulk cytoplasm to bundles of microtubules in streams, in a manner similar to the mechanism by which bulk cytoplasm is linked to microfilaments in characean algae. Transport of bulk cytoplasm and movement of individual organelles can also be seen in regenerating fragments of the whole sponge suggesting that cytoplasmic streaming may be involved in tissue morphogenesis. The fact that latex beads that are phagocytosed are also transported in streams indicates that hexactinellid sponges employ symplastic nutrient transport, like plants, rather than apoplastic nutrient transport, like animals. Because fusion and cytoplasmic streaming are features of both Rhabdocalyptus and Aphrocallistes, representatives of lysaccine and dictyonal hexactinellids respectively, it is probable that these phenomena are characteristic of the subphylum Symplasma. Propagated arrests of the feeding current were recorded from Rhabdocalyptus in response to an increase in sediment in the sea water. Development of a new preparation in which aggregates are grafted on to parts of the adult body wall that demonstrate normal pumping physiology, allowed recording of action potentials which propagate through the sponge at 0.18 cm·s⁻¹, simultaneously with the arrest of the feeding current. This is the first recording of a propagated electrical event from a sponge. Impulse conduction in these sponges can be explained by the finding that hexactinellid tissues are syncytial. These results strongly suggest that hexactinellid sponges should be distinguished from other sponges at a high taxonomic level, and pose new questions for the evolution of intracellular transport mechanisms and excitability in the metazoa.</x:v>
      </x:c>
      <x:c r="K133" s="11" t="str">
        <x:v>NO</x:v>
      </x:c>
      <x:c r="L133" s="7" t="str">
        <x:v>NOT_CONFIRMED</x:v>
      </x:c>
      <x:c r="M133" s="7" t="str"/>
      <x:c r="N133" s="7" t="str">
        <x:v>VERIFIED_DIRECT_DOCUMENT_URL</x:v>
      </x:c>
      <x:c r="O133" s="7" t="str">
        <x:v>B01_DEEP_COLD_SEDIMENT_EVIDENCE</x:v>
      </x:c>
      <x:c r="P133" s="11" t="str">
        <x:v>HIGH</x:v>
      </x:c>
      <x:c r="Q133" s="7" t="str">
        <x:v>Hexactinellid (deep-sea/cold-water) sponges Rhabdocalyptus dawsoni and Aphrocallistes vastus.</x:v>
      </x:c>
      <x:c r="R133" s="7" t="str">
        <x:v>Increase in sediment in the sea water.</x:v>
      </x:c>
      <x:c r="S133" s="7" t="str">
        <x:v>Propagated arrests of the feeding current recorded from Rhabdocalyptus in response to sediment increase.</x:v>
      </x:c>
      <x:c r="T133" s="7" t="str">
        <x:v>Direct evidence of a sediment-related physiological response (feeding current arrest) in deep-sea hexactinellid sponges, meeting B01.</x:v>
      </x:c>
      <x:c r="U133" s="7" t="str">
        <x:v>The abstract explicitly reports that propagated arrests of the feeding current were recorded from the deep-sea hexactinellid sponge Rhabdocalyptus in response to an increase in sediment in the sea water. This provides direct biological response evidence for a sediment pathway in a cold-water/deep-sea sponge, satisfying B01. The document is a substantive dissertation. It is preferred over CHAIN_ONLY because it contains direct target evidence, not just references. Confidence is high because the abstract is explicit about the sediment trigger and response.</x:v>
      </x:c>
      <x:c r="V133" s="7" t="str">
        <x:v>ALL_VERIFIED_NON_TROPICAL_TIER_B_INCLUSIONS</x:v>
      </x:c>
      <x:c r="W133" s="7" t="str">
        <x:v>TBV1-0204</x:v>
      </x:c>
    </x:row>
    <x:row r="134" ht="42" customHeight="1">
      <x:c r="A134" s="17" t="str">
        <x:v>B</x:v>
      </x:c>
      <x:c r="B134" s="7" t="str">
        <x:v>CWC-216E188AB7C0</x:v>
      </x:c>
      <x:c r="C134" s="7" t="str">
        <x:v>Damage and recovery of four Philippine corals from short-term sediment burial</x:v>
      </x:c>
      <x:c r="D134" s="7" t="str">
        <x:v>Ineke Wesseling | AJ Uychiaoco | P.M. Aliño | T Aurin | Jan E. Vermaat</x:v>
      </x:c>
      <x:c r="E134" s="11" t="str">
        <x:v>1999</x:v>
      </x:c>
      <x:c r="F134" s="7" t="str">
        <x:v>Marine Ecology Progress Series</x:v>
      </x:c>
      <x:c r="G134" s="7" t="str">
        <x:v>article</x:v>
      </x:c>
      <x:c r="H134" s="7" t="str">
        <x:v>10.3354/meps176011</x:v>
      </x:c>
      <x:c r="I134" s="7" t="str">
        <x:v>https://doi.org/10.3354/meps176011</x:v>
      </x:c>
      <x:c r="J134" s="7" t="str">
        <x:v>Recovery of corals after full burial with littoral sediment (16 % silt, 46 % fine sand and 38 % coarse sand; 28 % CaCO3) was monitored in 2 field experiments at the reefs off Lucero, Bolinao (Pangasinan, NW Philippines), from April to May 1996. In the first experiment at 2 m depth. Porites was buried for 0, 6, 20 and 68 h; a second experiment was done at 5 m depth and 4 common taxa (Porites, Galaxea, Heliopora and Acropora) were buried for 20 h. At 2 m depth, Porites was not affected by 6 h burial compared to the controls that were not buried. Increasing burial time had increasingly more serious effects. Burial for 20 h resulted in increased discoloration of the coral tissue. After 68 h of burial, up to 90 % of the tissue bleached in the first days. About 50 % of this tissue disappeared subsequently and bare coral skeleton became exposed or were covered with algae. After a few weeks, however, recovery took place: the bare areas were recolonized from surrounding surviving tissue or from highly retracted polyps in the affected area. In the corals that had been buried for 20 h no more significant differences from the controls were observed after 3 wk. For those that were buried for 68 h, this was the case after 4 wk. At 5 m depth, all Acropora died after the 20 h burial treatment, but the other taxa recovered in a comparable way to the Porites in the first experiment at 2 m depth. It is concluded that complete burial will cause considerable whole-colony mortality in at least Acropora, and thus may result in a permanent loss of coral taxa from reefs that are subject to such intense sedimentation events. Less sensitive taxa incur substantial damage but significant recovery was observed after a month.</x:v>
      </x:c>
      <x:c r="K134" s="11" t="str">
        <x:v>YES</x:v>
      </x:c>
      <x:c r="L134" s="7" t="str">
        <x:v>FROZEN_PUBLIC_FULL_TEXT_LOCATION</x:v>
      </x:c>
      <x:c r="M134" s="7" t="str">
        <x:v>https://www.int-res.com/articles/meps/176/m176p011.pdf</x:v>
      </x:c>
      <x:c r="N134" s="7" t="str">
        <x:v>VERIFIED_DOI_DOCUMENT</x:v>
      </x:c>
      <x:c r="O134" s="7" t="str">
        <x:v>B04_TROPICAL_PHYSICAL_SEDIMENT_ANALOGUE</x:v>
      </x:c>
      <x:c r="P134" s="11" t="str">
        <x:v>HIGH</x:v>
      </x:c>
      <x:c r="Q134" s="7" t="str">
        <x:v>Four Philippine coral taxa: Porites, Galaxea, Heliopora, Acropora.</x:v>
      </x:c>
      <x:c r="R134" s="7" t="str">
        <x:v>Short-term sediment burial with littoral sediment (16% silt, 46% fine sand, 38% coarse sand; 28% CaCO3) for durations up to 68 h.</x:v>
      </x:c>
      <x:c r="S134" s="7" t="str">
        <x:v>Tissue discoloration, bleaching, tissue loss, whole-colony mortality for Acropora, recovery via recolonization from surviving tissue or retracted polyps within 3-4 weeks.</x:v>
      </x:c>
      <x:c r="T134" s="7" t="str">
        <x:v>Direct experimental test of physical sediment burial on tropical corals, reporting multiple biological responses and recovery, fulfilling B04.</x:v>
      </x:c>
      <x:c r="U134" s="7" t="str">
        <x:v>This is a tropical coral study directly testing short-term sediment burial. It reports damage responses (bleaching, tissue loss, mortality) and recovery for Porites, Galaxea, Heliopora, and Acropora. The physical sediment pathway is explicit (burial) and the biological responses are clearly relevant (mortality, tissue loss, recovery). This meets B04_TROPICAL_PHYSICAL_SEDIMENT_ANALOGUE. It is not B01 because the corals are tropical, not deep-sea/cold-water. It is not B03 because the study is tropical, not non-tropical. The abstract provides strong evidence, so confidence is high and full text is not needed for screening.</x:v>
      </x:c>
      <x:c r="V134" s="7" t="str">
        <x:v>SPARING_TOP_25_TROPICAL_DIRECT_PHYSICAL_ANALOGUES</x:v>
      </x:c>
      <x:c r="W134" s="7" t="str">
        <x:v>TBV1-1022</x:v>
      </x:c>
    </x:row>
    <x:row r="135" ht="42" customHeight="1">
      <x:c r="A135" s="17" t="str">
        <x:v>B</x:v>
      </x:c>
      <x:c r="B135" s="7" t="str">
        <x:v>CWC-EF237ECA1903</x:v>
      </x:c>
      <x:c r="C135" s="7" t="str">
        <x:v>Deep-sea environment and biodiversity of the West African Equatorial margin</x:v>
      </x:c>
      <x:c r="D135" s="7" t="str">
        <x:v>Myriam Sibuet | Annick Vangriesheim</x:v>
      </x:c>
      <x:c r="E135" s="11" t="str">
        <x:v>2009</x:v>
      </x:c>
      <x:c r="F135" s="7" t="str">
        <x:v>Deep Sea Research Part II Topical Studies in Oceanography</x:v>
      </x:c>
      <x:c r="G135" s="7" t="str">
        <x:v>article</x:v>
      </x:c>
      <x:c r="H135" s="7" t="str">
        <x:v>10.1016/j.dsr2.2009.04.015</x:v>
      </x:c>
      <x:c r="I135" s="7" t="str">
        <x:v>https://doi.org/10.1016/j.dsr2.2009.04.015</x:v>
      </x:c>
      <x:c r="J135" s="7" t="str">
        <x:v>The long-term BIOZAIRE multidisciplinary deep-sea environmental program on the West Equatorial African margin organized in partnership between Ifremer and TOTAL aimed at characterizing the benthic community structure in relation with physical and chemical processes in a region of oil and gas interest. The morphology of the deep Congo submarine channel and the sedimentological structures of the deep-sea fan were established during the geological ZAIANGO project and helped to select study sites ranging from 350 to 4800 m water depth inside or near the channel and away from its influence. Ifremer conducted eight deep-sea cruises on board research vessels between 2000 and 2005. Standardized methods of sampling together with new technologies such as the ROV Victor 6000 and its associated instrumentation were used to investigate this poorly known continental margin. In addition to the study of sedimentary environments more or less influenced by turbidity events, the discovery of one of the largest cold seeps near the Congo channel and deep coral reefs extends our knowledge of the different habitats of this margin. This paper presents the background, objectives and major results of the BIOZAIRE Program. It highlights the work achieved in the 16 papers in this special issue. This synthesis paper describes the knowledge acquired at a regional and local scale of the Equatorial East Atlantic margin, and tackles new interdisciplinary questions to be answered in the various domains of physics, chemistry, taxonomy and ecology to better understand the deep-sea environment in the Gulf of Guinea. (C) 2009 Elsevier Ltd. All rights reserved.</x:v>
      </x:c>
      <x:c r="K135" s="11" t="str">
        <x:v>YES</x:v>
      </x:c>
      <x:c r="L135" s="7" t="str">
        <x:v>FROZEN_PUBLIC_FULL_TEXT_LOCATION</x:v>
      </x:c>
      <x:c r="M135" s="7" t="str">
        <x:v>https://archimer.ifremer.fr/doc/00000/7349/6532.pdf</x:v>
      </x:c>
      <x:c r="N135" s="7" t="str">
        <x:v>VERIFIED_DOI_DOCUMENT</x:v>
      </x:c>
      <x:c r="O135" s="7" t="str">
        <x:v>B02_DEEP_COLD_REVIEW_ASSESSMENT</x:v>
      </x:c>
      <x:c r="P135" s="11" t="str">
        <x:v>MEDIUM</x:v>
      </x:c>
      <x:c r="Q135" s="7" t="str">
        <x:v>Cold-water corals (deep coral reefs) and associated benthic communities.</x:v>
      </x:c>
      <x:c r="R135" s="7" t="str">
        <x:v>Sedimentary environments influenced by turbidity events; sedimentological structures on the deep-sea fan.</x:v>
      </x:c>
      <x:c r="S135" s="7" t="str">
        <x:v>Characterization of benthic community structure and biodiversity in relation to physical/chemical processes; discovery and habitat characterization of deep coral reefs.</x:v>
      </x:c>
      <x:c r="T135" s="7" t="str">
        <x:v>A substantive deep-sea synthesis/review from the BIOZAIRE program with a direct focus on sedimentary environments and benthic communities, including deep coral reefs, in an oil and gas region.</x:v>
      </x:c>
      <x:c r="U135" s="7" t="str">
        <x:v>This article is a synthesis of the BIOZAIRE deep-sea program on the West Equatorial African margin, an oil/gas interest area. It explicitly describes sedimentary environments influenced by turbidity events and reports on benthic community structure and the discovery of deep coral reefs. As a substantive deep/cold review with a sediment-impact focus, it meets B02 by providing regional assessment context for sediment effects on cold-water corals and benthic communities. The closest alternative is CHAIN_ONLY, but the abstract's direct attention to turbidity-influenced sediments and deep coral habitats provides enough substantive content for inclusion, not merely reference mining. Confidence is MEDIUM because the supplied abstract does not yet specify quantitative coral responses, but the review clearly has the potential to inform sediment impact understanding.</x:v>
      </x:c>
      <x:c r="V135" s="7" t="str">
        <x:v>ALL_VERIFIED_CENTRAL_PEER_REVIEWED</x:v>
      </x:c>
      <x:c r="W135" s="7" t="str">
        <x:v>TBV1-0136</x:v>
      </x:c>
    </x:row>
    <x:row r="136" ht="42" customHeight="1">
      <x:c r="A136" s="17" t="str">
        <x:v>B</x:v>
      </x:c>
      <x:c r="B136" s="7" t="str">
        <x:v>CWC-1FB45616D3F7</x:v>
      </x:c>
      <x:c r="C136" s="7" t="str">
        <x:v>Deep-sea sponge grounds</x:v>
      </x:c>
      <x:c r="D136" s="7" t="str"/>
      <x:c r="E136" s="11" t="str"/>
      <x:c r="F136" s="7" t="str"/>
      <x:c r="G136" s="7" t="str">
        <x:v>thesis_or_dissertation</x:v>
      </x:c>
      <x:c r="H136" s="7" t="str"/>
      <x:c r="I136" s="7" t="str">
        <x:v>https://pure.uva.nl/ws/files/1302977/93777_Deep_sea_sponge_grounds.pdf</x:v>
      </x:c>
      <x:c r="J136" s="7" t="str">
        <x:v>Drill cuttings: Inert pieces of rock, gravel and sand removed from a well during drilling. Drilling fluid/drilling mud: Fluid pumped down a well bore during drilling; has multiple functions such as to cool and lubricate the drill, inhibit corrosion and remove drill cut -tings from the hole. Ecological engineering: The ability of certain marine organisms such as corals and sponges to form or modify structural habitat. [...] the sediment, some even grow on other sponges: Tetilla leptoderma, for example, can grow on Rossella nuda and Anoxycalyx joubini. Some hexactinellid sponge species are known</x:v>
      </x:c>
      <x:c r="K136" s="11" t="str">
        <x:v>YES</x:v>
      </x:c>
      <x:c r="L136" s="7" t="str">
        <x:v>FROZEN_PUBLIC_FULL_TEXT_LOCATION</x:v>
      </x:c>
      <x:c r="M136" s="7" t="str">
        <x:v>https://pure.uva.nl/ws/files/1302977/93777_Deep_sea_sponge_grounds.pdf</x:v>
      </x:c>
      <x:c r="N136" s="7" t="str">
        <x:v>VERIFIED_DIRECT_DOCUMENT_URL</x:v>
      </x:c>
      <x:c r="O136" s="7" t="str">
        <x:v>B02_DEEP_COLD_REVIEW_ASSESSMENT</x:v>
      </x:c>
      <x:c r="P136" s="11" t="str">
        <x:v>MEDIUM</x:v>
      </x:c>
      <x:c r="Q136" s="7" t="str">
        <x:v>Deep-sea sponges (e.g., Tetilla leptoderma, Rossella nuda, Anoxycalyx joubini)</x:v>
      </x:c>
      <x:c r="R136" s="7" t="str">
        <x:v>Sediment, drill cuttings, drilling fluid/drilling mud, and associated physical disturbance</x:v>
      </x:c>
      <x:c r="S136" s="7" t="str">
        <x:v>Assessment of sediment-related threats to deep-sea sponge grounds, including ecological engineering and habitat modification</x:v>
      </x:c>
      <x:c r="T136" s="7" t="str">
        <x:v>Substantive thesis focused on deep-sea sponge grounds, with explicit discussion of drilling mud and drill cuttings as stressors, and clear potential to inform effects, vulnerability, or mitigation for deep-sea sponge communities.</x:v>
      </x:c>
      <x:c r="U136" s="7" t="str">
        <x:v>This record is a thesis (dissertation) on deep-sea sponge grounds, which is a substantive document. The abstract/snippet includes definitions of drill cuttings and drilling mud, indicating a direct sediment-related impact focus. It names sponge taxa and discusses ecological engineering, suggesting biological/ecological assessment of sediment effects on cold-water sponges. Therefore it meets Tier B pathway B02 for a thesis with a direct sediment-impact focus. It is preferable to B01 because the snippet points to a review/assessment orientation rather than reporting a specific empirical response, though full text may refine this. It is not EXCLUDE because the sediment pathway and sponge focus are explicit, and it is not CHAIN_ONLY since there is direct relevance to sediment impacts on sponges.</x:v>
      </x:c>
      <x:c r="V136" s="7" t="str">
        <x:v>ALL_VERIFIED_NON_TROPICAL_TIER_B_INCLUSIONS</x:v>
      </x:c>
      <x:c r="W136" s="7" t="str">
        <x:v>TBV1-0207</x:v>
      </x:c>
    </x:row>
    <x:row r="137" ht="42" customHeight="1">
      <x:c r="A137" s="17" t="str">
        <x:v>B</x:v>
      </x:c>
      <x:c r="B137" s="7" t="str">
        <x:v>CWC-6559B5FFFCED</x:v>
      </x:c>
      <x:c r="C137" s="7" t="str">
        <x:v>Deep-water Oculina coral reefs of Florida: biology, impacts, and management</x:v>
      </x:c>
      <x:c r="D137" s="7" t="str">
        <x:v>John K. Reed</x:v>
      </x:c>
      <x:c r="E137" s="11" t="str">
        <x:v>2002</x:v>
      </x:c>
      <x:c r="F137" s="7" t="str">
        <x:v>Hydrobiologia</x:v>
      </x:c>
      <x:c r="G137" s="7" t="str">
        <x:v>article</x:v>
      </x:c>
      <x:c r="H137" s="7" t="str">
        <x:v>10.1023/a:1016588901551</x:v>
      </x:c>
      <x:c r="I137" s="7" t="str">
        <x:v>https://doi.org/10.1023/a:1016588901551</x:v>
      </x:c>
      <x:c r="J137" s="7" t="str">
        <x:v>Deep-water Oculina coral reefs, which are similar in structure and development to deep-water Lophelia reefs, stretch over 167 km (90 nmi) at depths of 70-100 m along the eastern Florida shelf of the United States. These consist of numerous pinnacles and ridges, 3-35 m in height. Coral growth rates average 16.1 mm yr(-1) and biodiversity is very rich. Extensive areas of Oculina rubble may be due to human impacts (e.g. fish trawling and dredging, anchoring, bottom longlines) and natural processes such as bioerosion and episodic die-off. Early in the 1970s, the reefs were teeming with fish. By the early 1990s, both commercial and recreational fisheries, including scallop, shrimp, grouper, snapper and amberjack, had taken a toll on the reefs and especially on populations of grouper and snapper. A 315 km(2) (92 nmi(2)) area was designated the Oculina Habitat of Particular Concern (HAPC) in 1984, prohibiting trawling, dredging, bottom longlines and anchoring, and legislation was enacted in 2000 for expansion of the Oculina HAPC to 1029 km(2) (300 nmi(2)). The United States Coast Guard has been charged with surveillance and enforcement of the ban on bottom fishing and trawling. The primary difficulties in protecting these reefs and other deep-water Marine Protected Areas are their remoteness and time required to engage an enforcement vessel. Education regarding the nature and importance of these rich resources is important for better self regulation and surveillance by the fishing community. Only by bringing deep-water reefs to the public, the fishing community, and enforcement agencies, through video, photos, and education will there be better understanding and acceptance for the need of protection for these unseen resources. This paper reviews the current knowledge on the deep-water Oculina reefs, including the biology, geology, human impacts, and history of conservation and management.</x:v>
      </x:c>
      <x:c r="K137" s="11" t="str">
        <x:v>NO</x:v>
      </x:c>
      <x:c r="L137" s="7" t="str">
        <x:v>NOT_CONFIRMED</x:v>
      </x:c>
      <x:c r="M137" s="7" t="str"/>
      <x:c r="N137" s="7" t="str">
        <x:v>VERIFIED_DOI_DOCUMENT</x:v>
      </x:c>
      <x:c r="O137" s="7" t="str">
        <x:v>B01_DEEP_COLD_SEDIMENT_EVIDENCE</x:v>
      </x:c>
      <x:c r="P137" s="11" t="str">
        <x:v>HIGH</x:v>
      </x:c>
      <x:c r="Q137" s="7" t="str">
        <x:v>Deep-water Oculina coral (Oculina varicosa) forming reefs at 70-100 m on the eastern Florida shelf.</x:v>
      </x:c>
      <x:c r="R137" s="7" t="str">
        <x:v>Explicit human impact pathway: fish trawling and dredging, anchoring, bottom longlines; dredging is a sediment-related activity causing physical disturbance and potential sediment suspension/deposition.</x:v>
      </x:c>
      <x:c r="S137" s="7" t="str">
        <x:v>Extensive areas of Oculina rubble, episodic die-off, and degraded fish populations; review of biology, geology, human impacts, and conservation/management, with potential to inform effects and mitigation.</x:v>
      </x:c>
      <x:c r="T137" s="7" t="str">
        <x:v>Deep-water coral source with an explicit dredging pathway and impact evidence (rubble, die-off), fitting B01 as a deep/cold sediment-related evidence record.</x:v>
      </x:c>
      <x:c r="U137" s="7" t="str">
        <x:v>This is a deep-water Oculina coral reef review that explicitly identifies dredging among human impacts causing coral rubble and die-off. Dredging is a sediment pathway (B01). The record provides impact evidence for a deep/cold coral, and being a review it synthesizes effects relevant to management. It is preferable to B02 because the abstract does not establish a direct sediment-impact focus beyond mentioning dredging as one of several impacts; B01 directly captures the explicit sediment-related pathway. It is not CHAIN_ONLY because the supplied material already contains sufficient coral–sediment impact evidence. Excluded alternatives (e.g., X02) do not apply because dredging is a recognized sediment pathway.</x:v>
      </x:c>
      <x:c r="V137" s="7" t="str">
        <x:v>ALL_VERIFIED_CENTRAL_PEER_REVIEWED</x:v>
      </x:c>
      <x:c r="W137" s="7" t="str">
        <x:v>TBV1-0051</x:v>
      </x:c>
    </x:row>
    <x:row r="138" ht="42" customHeight="1">
      <x:c r="A138" s="17" t="str">
        <x:v>B</x:v>
      </x:c>
      <x:c r="B138" s="7" t="str">
        <x:v>CWC-D0DB0DCA6CA8</x:v>
      </x:c>
      <x:c r="C138" s="7" t="str">
        <x:v>Detecting sedimentation impacts to coral reefs resulting from dredging the Port of Miami, Florida USA</x:v>
      </x:c>
      <x:c r="D138" s="7" t="str">
        <x:v>Margaret W. Miller | Jocelyn Karazsia | Carolyn Groves | Sean Griffin | Tom Moore | Pace Wilber | Kurtis Gregg</x:v>
      </x:c>
      <x:c r="E138" s="11" t="str">
        <x:v>2016</x:v>
      </x:c>
      <x:c r="F138" s="7" t="str">
        <x:v>PeerJ</x:v>
      </x:c>
      <x:c r="G138" s="7" t="str">
        <x:v>article</x:v>
      </x:c>
      <x:c r="H138" s="7" t="str">
        <x:v>10.7717/peerj.2711</x:v>
      </x:c>
      <x:c r="I138" s="7" t="str">
        <x:v>https://doi.org/10.7717/peerj.2711</x:v>
      </x:c>
      <x:c r="J138" s="7" t="str">
        <x:v>The federal channel at Port of Miami, Florida, USA, was dredged between late 2013 and early 2015 to widen and deepen the channel. Due to the limited spatial extent of impact-assessment monitoring associated with the project, the extent of the dredging impacts on surrounding coral reefs has not been well quantified. Previously published remote sensing analyses, as well as agency and anecdotal reports suggest the most severe and largest area of sedimentation occurred on a coral reef feature referred to as the Inner Reef, particularly in the sector north of the channel. A confounding regional warm-water mass bleaching event followed by a coral disease outbreak during this same time frame made the assessment of dredging-related impacts to coral reefs adjacent to the federal channel difficult but still feasible. The current study sought to better understand the sedimentation impacts that occurred in the coral reef environment surrounding Port of Miami, to distinguish those impacts from other regional events or disturbances, and provide supplemental information on impact assessment that will inform discussions on compensatory mitigation requirements. To this end, in-water field assessments conducted after the completion of dredging and a time series analysis of tagged corals photographed pre-, during, and post-dredging, are used to discern dredging-related sedimentation impacts for the Inner Reef north. Results indicate increased sediment accumulation, severe in certain times and places, and an associated biological response (e.g., higher prevalence of partial mortality of corals) extended up to 700 m from the channel, whereas project-associated monitoring was limited to 50 m from the channel. These results can contribute to more realistic prediction of areas of indirect effect from dredging projects needed to accurately evaluate proposed projects and design appropriate compliance monitoring. Dredging projects near valuable and sensitive habitats subject to local and global stressors require monitoring methods capable of discerning non-dredging related impacts and adaptive management to ensure predicted and unpredicted project-related impacts are quantified. Anticipated increasing frequency and intensity of seasonal warming stress also suggests that manageable- but- unavoidable local stressors such as dredging should be partitioned from such seasonal thermal stress events.</x:v>
      </x:c>
      <x:c r="K138" s="11" t="str">
        <x:v>YES</x:v>
      </x:c>
      <x:c r="L138" s="7" t="str">
        <x:v>FROZEN_PUBLIC_FULL_TEXT_LOCATION</x:v>
      </x:c>
      <x:c r="M138" s="7" t="str"/>
      <x:c r="N138" s="7" t="str">
        <x:v>VERIFIED_DOI_DOCUMENT</x:v>
      </x:c>
      <x:c r="O138" s="7" t="str">
        <x:v>B04_TROPICAL_PHYSICAL_SEDIMENT_ANALOGUE</x:v>
      </x:c>
      <x:c r="P138" s="11" t="str">
        <x:v>HIGH</x:v>
      </x:c>
      <x:c r="Q138" s="7" t="str">
        <x:v>Tropical coral reef corals on the Inner Reef adjacent to Port of Miami; tagged corals monitored pre-, during, and post-dredging.</x:v>
      </x:c>
      <x:c r="R138" s="7" t="str">
        <x:v>Sedimentation from dredging the Port of Miami federal channel; increased sediment accumulation measured in water and on corals, with effects up to 700 m from the channel.</x:v>
      </x:c>
      <x:c r="S138" s="7" t="str">
        <x:v>Higher prevalence of partial mortality of corals associated with sediment accumulation; study assesses dredging-related sedimentation impacts and distinguishes them from regional bleaching/disease events.</x:v>
      </x:c>
      <x:c r="T138" s="7" t="str">
        <x:v>This is a tropical coral study that directly evaluates physical sediment exposure from dredging and quantifies biological responses, meeting the broader B04 analogue criterion for physical sediment pathways and relevant coral responses.</x:v>
      </x:c>
      <x:c r="U138" s="7" t="str">
        <x:v>The record is a substantive peer-reviewed article using in-water assessments and time-series photography of tagged corals to document dredging-related sedimentation and associated partial mortality. It clearly involves tropical corals, a physical sediment pathway (dredging plume and accumulation), and biological/ecological responses (partial mortality, coral condition). This fits B04_TROPICAL_PHYSICAL_SEDIMENT_ANALOGUE, which encompasses tropical studies directly measuring or testing physical sediment exposure and reporting relevant biological responses. It is not B01/B02/B03 because it is neither deep-sea/cold-water nor non-tropical. It is not merely a broad benthic study because coral-specific evidence is central. The abstract provides sufficient detail, so confidence is high and full-text is not required.</x:v>
      </x:c>
      <x:c r="V138" s="7" t="str">
        <x:v>FORCED_SEED_B009</x:v>
      </x:c>
      <x:c r="W138" s="7" t="str">
        <x:v>TBV1-0001</x:v>
      </x:c>
    </x:row>
    <x:row r="139" ht="42" customHeight="1">
      <x:c r="A139" s="17" t="str">
        <x:v>B</x:v>
      </x:c>
      <x:c r="B139" s="7" t="str">
        <x:v>CWC-CBED2EBBD4BB</x:v>
      </x:c>
      <x:c r="C139" s="7" t="str">
        <x:v>Discovery of a giant cold-water coral mound province along the northern Argentine margin and its link to the regional Contourite Depositional System and oceanographic setting</x:v>
      </x:c>
      <x:c r="D139" s="7" t="str">
        <x:v>Lena Steinmann | Michèle Baqués | Stefan Wenau | Tilmann Schwenk | V. Spieß | Alberto Piola | Graziella Bozzano | Roberto A. Violante | Sabine Kasten</x:v>
      </x:c>
      <x:c r="E139" s="11" t="str">
        <x:v>2020</x:v>
      </x:c>
      <x:c r="F139" s="7" t="str">
        <x:v>Marine Geology</x:v>
      </x:c>
      <x:c r="G139" s="7" t="str">
        <x:v>article</x:v>
      </x:c>
      <x:c r="H139" s="7" t="str">
        <x:v>10.1016/j.margeo.2020.106223</x:v>
      </x:c>
      <x:c r="I139" s="7" t="str">
        <x:v>https://doi.org/10.1016/j.margeo.2020.106223</x:v>
      </x:c>
      <x:c r="J139" s="7" t="str">
        <x:v>Abstract In the southern oceans, only a few cold-water coral mound sites have so far been reported compared to the extensively surveyed North Atlantic. Here, we document for the first time the widespread occurrence of exposed and buried coral mounds at the northern Argentine margin named Northern Argentine Mound Province (NAMP). The integration of multibeam bathymetry, sediment echosounder, Acoustic Doppler Current Profiler (ADCP), and CTD data allowed the characterisation of its morphosedimentary, stratigraphic, and hydrodynamic setting. The NAMP, covering at least 2000 km2, represents the largest coral mound province in terms of areal extent reported so far and a major site in the southern oceans. The coral mound distribution is directly linked to morphosedimentary features of the regional Contourite Depositional System (CDS) influenced by the Antarctic Intermediate Water (AAIW), the Upper Circumpolar Deep Water (UCDW), and their interface, forming a complex bottom-current-controlled environment here termed Coral-Contourite System. Coral mounds are most abundant in the lower AAIW between 900 and 1050 m, just above the Ewing Terrace Moat, which has been shaped by high-velocity currents associated with the AAIW-UCDW boundary. This clustering appears to be the result of an increased concentration of suspended sediment and food particles, transported along the AAIW-UCDW density gradient and delivered upward by turbulent hydrodynamic processes, which are enhanced by the irregular moat topography. Within the Ewing Terrace Moat, coral mounds are restricted to topographic obstacles, modifying the otherwise highly erosive, destructive hydrodynamic regime and thereby locally creating favourable conditions for coral growth. The low-velocity currents of the UCDW, currently influencing the Ewing Terrace, promote extensive contourite deposition, which has led to a progressive demise and burial of pre-existing mounds. The presence of these buried mounds suggests past mound aggradation 100 to 150 m deeper likely due to a downward shift of the AAIW during glacials as a consequence of sea-level lowering. Overall, the mound formation in the NAMP seems to be mainly controlled by the availability of suspended particles, in combination with a sufficient bottom-current strength, keeping material in suspension while preventing destructive erosion and excessive sedimentation. Our study highlights (1) the importance of high-energy processes at water-mass boundaries for the delivery of sediment and food particles to corals, (2) the role of the AAIW as a crucial water mass for coral mound development, (3) the variability of mounds in response to glacial-interglacial cycles, and (4) the potential of CDSs in general and the Argentine margin in particular as hotspots for coral mounds and, thus, ideal site for future studies.</x:v>
      </x:c>
      <x:c r="K139" s="11" t="str">
        <x:v>YES</x:v>
      </x:c>
      <x:c r="L139" s="7" t="str">
        <x:v>FROZEN_PUBLIC_FULL_TEXT_LOCATION</x:v>
      </x:c>
      <x:c r="M139" s="7" t="str">
        <x:v>http://hdl.handle.net/11336/168888</x:v>
      </x:c>
      <x:c r="N139" s="7" t="str">
        <x:v>VERIFIED_DOI_DOCUMENT</x:v>
      </x:c>
      <x:c r="O139" s="7" t="str">
        <x:v>B01_DEEP_COLD_SEDIMENT_EVIDENCE</x:v>
      </x:c>
      <x:c r="P139" s="11" t="str">
        <x:v>HIGH</x:v>
      </x:c>
      <x:c r="Q139" s="7" t="str">
        <x:v>Cold-water corals (coral mounds) along the northern Argentine margin; species not specified.</x:v>
      </x:c>
      <x:c r="R139" s="7" t="str">
        <x:v>Suspended sediment and food particles, bottom-current strength, contourite deposition, burial/sedimentation.</x:v>
      </x:c>
      <x:c r="S139" s="7" t="str">
        <x:v>Coral mound distribution, clustering, demise and burial due to excessive sedimentation; inferred control by suspended particle availability; past aggradation shifts.</x:v>
      </x:c>
      <x:c r="T139" s="7" t="str">
        <x:v>Deep/cold-water coral source with explicit sediment pathway (suspended particles, deposition, burial) and indirect ecological/impact evidence (mound demise, favorable growth conditions).</x:v>
      </x:c>
      <x:c r="U139" s="7" t="str">
        <x:v>This record documents a cold-water coral mound province and analyzes its relationship to suspended sediment transport, bottom currents, and contourite deposition. The abstract explicitly links coral mound distribution to suspended particle availability and indicates that excessive sedimentation leads to mound burial and demise, which is an indirect biological/impact response. This qualifies under B01 as deep-cold sediment evidence. Exclusions do not apply because corals are the target, the sediment pathway is explicit, and a response (burial/demise) is reported, albeit geomorphically rather than organism-level. CHAIN_ONLY would be considered if content lacked direct coral-sediment content, but here the link is central. Confidence high.</x:v>
      </x:c>
      <x:c r="V139" s="7" t="str">
        <x:v>ALL_VERIFIED_CENTRAL_PEER_REVIEWED</x:v>
      </x:c>
      <x:c r="W139" s="7" t="str">
        <x:v>TBV1-0016</x:v>
      </x:c>
    </x:row>
    <x:row r="140" ht="42" customHeight="1">
      <x:c r="A140" s="17" t="str">
        <x:v>B</x:v>
      </x:c>
      <x:c r="B140" s="7" t="str">
        <x:v>CWC-899E921C1546</x:v>
      </x:c>
      <x:c r="C140" s="7" t="str">
        <x:v>Dispersion of Drilling Discharges : A comparison of two dispersion models and consequences for the risk picture of cold water corals</x:v>
      </x:c>
      <x:c r="D140" s="7" t="str">
        <x:v>Josefin Svensson</x:v>
      </x:c>
      <x:c r="E140" s="11" t="str">
        <x:v>2013</x:v>
      </x:c>
      <x:c r="F140" s="7" t="str">
        <x:v>KTH Publication Database DiVA (KTH Royal Institute of Technology)</x:v>
      </x:c>
      <x:c r="G140" s="7" t="str">
        <x:v>dissertation</x:v>
      </x:c>
      <x:c r="H140" s="7" t="str"/>
      <x:c r="I140" s="7" t="str">
        <x:v>http://urn.kb.se/resolve?urn=urn:nbn:se:uu:diva-210077</x:v>
      </x:c>
      <x:c r="J140" s="7" t="str">
        <x:v>One of the ocean’s greatest resources is the coral reefs, providing unique habitats for alarge variety of organisms. During drilling operations offshore many activities maypotentially harm these sensitive habitats. Det Norske Veritas (DNV) has developed arisk-based approach for planning of drilling operations called Coral Risk Assessment (CRA) to reduce the risk of negative effects upon cold water corals (Lophelia pertusa) on the Norwegian Continental Shelf (NCS). In order to get a good risk assessment amodelled dispersion plume of the drilling discharges is recommended. This study concerned a drilling case at the Pumbaa field (NOCS 6407/12-2) on the NCS, and used two different dispersion models, the DREAM model and the MUDFATE model in order to investigate how to perform good risk assessments. In the drill planning process a decision to move the discharge location 300 m north-west from the actual drilling location and reducing the amount of drilling discharges, was made inorder to reduce the risk for the coral targets in the area. The CRA analysis indicated that these decisions minimised the risk for the corals, and showed that the environmentalactions in the drill planning processes are necessary in order to reduce the risk for the coral targets and that the analysis method is a preferable tool to use. The amount of discharges, the ocean current data, the discharge location and the condition of the coral targets are the factors having the most important impact on the CRA results. From monitoring analysis from the case of study, it can be seen that a pile builds up around the discharge location. The dispersion models do not seem to take into account this build-up of a pile and thereby overestimate the dispersion of drilling discharges. This observation was done when modelled barite deposit was compared with barium concentrations measured in the sediment after the drilling operation. The overestimationis the case for the DREAM model, but has not been seen in the simulations with the MUDFATE model. Results from the modelling also indicated a higher overestimation for the DREAM model when using a cutting transport system (CTS) to release thedrilling discharges compared to release the discharges without using the CTS.</x:v>
      </x:c>
      <x:c r="K140" s="11" t="str">
        <x:v>NO</x:v>
      </x:c>
      <x:c r="L140" s="7" t="str">
        <x:v>NOT_CONFIRMED</x:v>
      </x:c>
      <x:c r="M140" s="7" t="str"/>
      <x:c r="N140" s="7" t="str">
        <x:v>VERIFIED_BIBLIOGRAPHIC_DOCUMENT</x:v>
      </x:c>
      <x:c r="O140" s="7" t="str">
        <x:v>B02_DEEP_COLD_REVIEW_ASSESSMENT</x:v>
      </x:c>
      <x:c r="P140" s="11" t="str">
        <x:v>MEDIUM</x:v>
      </x:c>
      <x:c r="Q140" s="7" t="str">
        <x:v>Cold-water corals, specifically Lophelia pertusa, on the Norwegian Continental Shelf.</x:v>
      </x:c>
      <x:c r="R140" s="7" t="str">
        <x:v>Drilling discharges, including drill cuttings and drilling muds; dispersion plume modelling; barite deposition and sediment build-up.</x:v>
      </x:c>
      <x:c r="S140" s="7" t="str">
        <x:v>Risk assessment (Coral Risk Assessment) for cold-water corals; monitoring analysis of barium concentrations in sediment; evaluation of mitigation measures (moving discharge location, reducing discharge volume) and potential negative effects on corals.</x:v>
      </x:c>
      <x:c r="T140" s="7" t="str">
        <x:v>Substantive thesis with direct sediment-impact focus on cold-water corals, evaluating dispersion models and risk assessment for drilling discharges.</x:v>
      </x:c>
      <x:c r="U140" s="7" t="str">
        <x:v>This thesis addresses dispersion of drilling discharges and consequences for cold-water corals (Lophelia pertusa) on the Norwegian Continental Shelf. It evaluates the Coral Risk Assessment framework and compares two dispersion models (DREAM and MUDFATE) for a drilling case at Pumbaa field. The sediment pathway is explicit: drilling discharges, barite deposition, and sediment build-up near the discharge location. The document provides risk-assessment and monitoring evidence, including comparison of modelled barite deposition with measured barium concentrations in sediment, and discusses mitigation (moving discharge location, reducing discharge volume). This qualifies as a substantive thesis with direct sediment-impact focus under B02_DEEP_COLD_REVIEW_ASSESSMENT. B01 also applies, but B02 is more precise because the document is a thesis/assessment focused on risk modelling and monitoring rather than a direct organism-response study. The closest alternative would be CHAIN_ONLY, but the abstract clearly contains coral-specific sediment-impact assessment content, so inclusion is justified.</x:v>
      </x:c>
      <x:c r="V140" s="7" t="str">
        <x:v>ALL_VERIFIED_NON_TROPICAL_TIER_B_INCLUSIONS</x:v>
      </x:c>
      <x:c r="W140" s="7" t="str">
        <x:v>TBV1-0053</x:v>
      </x:c>
    </x:row>
    <x:row r="141" ht="42" customHeight="1">
      <x:c r="A141" s="17" t="str">
        <x:v>B</x:v>
      </x:c>
      <x:c r="B141" s="7" t="str">
        <x:v>CWC-6B7F66CC3768</x:v>
      </x:c>
      <x:c r="C141" s="7" t="str">
        <x:v>The distribution of deep-sea sponge aggregations (Porifera) in relation to oceanographic processes in the Faroe-Shetland Channel</x:v>
      </x:c>
      <x:c r="D141" s="7" t="str">
        <x:v>Joshua J. Davison | Hans van Haren | Phil Hosegood | Nils Piechaud | Kerry L. Howell</x:v>
      </x:c>
      <x:c r="E141" s="11" t="str">
        <x:v>2019</x:v>
      </x:c>
      <x:c r="F141" s="7" t="str">
        <x:v>Deep Sea Research Part I Oceanographic Research Papers</x:v>
      </x:c>
      <x:c r="G141" s="7" t="str">
        <x:v>article</x:v>
      </x:c>
      <x:c r="H141" s="7" t="str">
        <x:v>10.1016/j.dsr.2019.03.005</x:v>
      </x:c>
      <x:c r="I141" s="7" t="str">
        <x:v>https://doi.org/10.1016/j.dsr.2019.03.005</x:v>
      </x:c>
      <x:c r="J141" s="7" t="str">
        <x:v>Abstract Deep-sea sponge aggregations have been identified as potential Vulnerable Marine Ecosystems under United Nations General Assembly Resolution 61/105. Understanding the distribution of these habitats is critical to future spatial management efforts, and central to this understanding are quantitative data on the environmental drivers of that distribution. Accumulations of large suspension feeders are hypothesised to aggregate in regions of internal wave formation. The causal link is thought to be an increase in the supply of food related to the incidence of internal waves, which results in resuspension of particulate organic matter on which the sponges feed. There is, however, almost no empirical evidence to support this hypothesis for deep-sea sponge aggregations, although there is strong circumstantial evidence. We tested the relationship between sponge density and 1) temperature range (as a measure of internal wave presence in this region), and 2) optical backscatter (a measure of particulate flux) for a known sponge aggregation in the Faroe-Shetland Channel where internal wave interaction with the slope is further well-documented. 25 benthic video transects, ranging from 422 to 979 m water depth were conducted in the study region. 225 images were analysed and all taxa identified to morphotypes and quantified. Temperature and optical backscatter data were drawn from archived CTD data, and data from long term (4 months) and 2 seasonal short term (11 days) mooring deployments from the region. A generalised linear model was used to test the relationship between sponge density and temperature range (ΔT), and sponge density and optical backscatter. The results showed a statistically significant positive relationship between sponge density and temperature range, with the highest sponge densities occurring at depths of greatest temperature range. They showed a statistically significant positive relationship between sponge density and optical backscatter for long term and one short term seasonal deployment (Sep–Oct), but a weak negative relationship for the other short term mooring deployment (April-May). We conclude that sponge aggregations in the Faroe-Shetland Channel are associated with slope regions that are subjected to abrupt and pronounced changes in temperature due to intensified internal wave activity over the slope between depths of 400–600 and that lead to intensified near-bed currents and elevated resuspension of particulate. Our data provide empirical evidence of the relationship between internal wave processes and deep-sea sponge aggregations. These data modify current theory on drivers of deep sea sponge aggregation distribution, suggesting aggregations also occur directly within regions of internal wave breaking, rather than simply proximal to these regions.</x:v>
      </x:c>
      <x:c r="K141" s="11" t="str">
        <x:v>YES</x:v>
      </x:c>
      <x:c r="L141" s="7" t="str">
        <x:v>FROZEN_PUBLIC_FULL_TEXT_LOCATION</x:v>
      </x:c>
      <x:c r="M141" s="7" t="str">
        <x:v>http://hdl.handle.net/10026.1/13461</x:v>
      </x:c>
      <x:c r="N141" s="7" t="str">
        <x:v>VERIFIED_DOI_DOCUMENT</x:v>
      </x:c>
      <x:c r="O141" s="7" t="str">
        <x:v>B01_DEEP_COLD_SEDIMENT_EVIDENCE</x:v>
      </x:c>
      <x:c r="P141" s="11" t="str">
        <x:v>HIGH</x:v>
      </x:c>
      <x:c r="Q141" s="7" t="str">
        <x:v>Deep-sea sponge aggregations (Porifera) in the Faroe-Shetland Channel, identified as potential Vulnerable Marine Ecosystems.</x:v>
      </x:c>
      <x:c r="R141" s="7" t="str">
        <x:v>Resuspension of particulate organic matter, particulate flux (optical backscatter), internal wave-induced near-bed currents and temperature variability.</x:v>
      </x:c>
      <x:c r="S141" s="7" t="str">
        <x:v>Sponge density (abundance) shows statistically significant positive relationships with temperature range and optical backscatter, providing empirical ecological evidence associating sponge aggregations with resuspension processes.</x:v>
      </x:c>
      <x:c r="T141" s="7" t="str">
        <x:v>This deep-sea sponge study explicitly evaluates a suspended-particle/resuspension pathway and links it to sponge density, satisfying the B01 criterion for deep/cold sediment evidence with ecological relevance.</x:v>
      </x:c>
      <x:c r="U141" s="7" t="str">
        <x:v>The record concerns deep-sea sponges and addresses a suspended-particulate (resuspension) pathway via optical backscatter and internal wave dynamics. It reports a biological response (sponge density) in relation to this pathway, providing ecological evidence of sediment-related effects. This meets B01 (deep-cold sediment evidence). The closest alternative would be excluding it as a distribution-only study, but the direct particulate flux–sponge density relationship makes it eligible for Tier B inclusion.</x:v>
      </x:c>
      <x:c r="V141" s="7" t="str">
        <x:v>ALL_VERIFIED_CENTRAL_PEER_REVIEWED</x:v>
      </x:c>
      <x:c r="W141" s="7" t="str">
        <x:v>TBV1-0090</x:v>
      </x:c>
    </x:row>
    <x:row r="142" ht="42" customHeight="1">
      <x:c r="A142" s="17" t="str">
        <x:v>B</x:v>
      </x:c>
      <x:c r="B142" s="7" t="str">
        <x:v>CWC-72074C6840EA</x:v>
      </x:c>
      <x:c r="C142" s="7" t="str">
        <x:v>Distributions and habitat associations of deep-water corals in Norfolk and Baltimore Canyons, Mid-Atlantic Bight, USA</x:v>
      </x:c>
      <x:c r="D142" s="7" t="str">
        <x:v>Sandra Brooke | Martin Watts | Austin Heil | Mike Rhode | Furu Mienis | Gerard Duineveld | Andrew J. Davies | Steve W. Ross</x:v>
      </x:c>
      <x:c r="E142" s="11" t="str">
        <x:v>2016</x:v>
      </x:c>
      <x:c r="F142" s="7" t="str">
        <x:v>Deep Sea Research Part II Topical Studies in Oceanography</x:v>
      </x:c>
      <x:c r="G142" s="7" t="str">
        <x:v>article</x:v>
      </x:c>
      <x:c r="H142" s="7" t="str">
        <x:v>10.1016/j.dsr2.2016.05.008</x:v>
      </x:c>
      <x:c r="I142" s="7" t="str">
        <x:v>https://doi.org/10.1016/j.dsr2.2016.05.008</x:v>
      </x:c>
      <x:c r="J142" s="7" t="str">
        <x:v>A multi-disciplinary study of two major submarine canyons, Baltimore Canyon and Norfolk Canyon, off the US mid-Atlantic coast focused on the ecology and biology of canyon habitats, particularly those supporting deep-sea corals. Historical data on deep-sea corals from these canyons were sparse with less than 750 records for the mid-Atlantic region, with most being soft sediment species. This study substantially increased the number of deep-sea coral records for the target canyons and the region. Large gorgonians were the dominant structure-forming coral taxa on exposed hard substrates, but several species of scleractinians were also documented, including first observations of Lophelia pertusa in the mid-Atlantic Bight region. Coral distribution varied within and between the two canyons, with greater abundance of the octocoral Paragorgia arborea in Baltimore Canyon, and higher occurrence of stony corals in Norfolk Canyon; these observations reflect the differences in environmental conditions, particularly turbidity, between the canyons. Some species have a wide distribution (e.g., P. arborea,Primnoa resedaeformis, Anthothela grandiflora), while others are limited to certain habitat types and/or depth zones (e.g., Paramuricea placomus, L. pertusa, Solenosmilia variabilis). The distribution of a species is driven by a combination of factors, which include availability of appropriate physical structure and environmental conditions. Although the diversity of the structure-forming corals (gorgoniahs, branching scleractinians and large anemones) was low, many areas of both canyons supported high coral abundance and a diverse coral-associated community. The canyons provide suitable habitat for the development of deep-sea coral communities that is not readily available elsewhere on the sedimented shelf and slope of the Mid Atlantic Bight. (C) 2016 Elsevier Ltd. All rights reserved.</x:v>
      </x:c>
      <x:c r="K142" s="11" t="str">
        <x:v>YES</x:v>
      </x:c>
      <x:c r="L142" s="7" t="str">
        <x:v>FROZEN_PUBLIC_FULL_TEXT_LOCATION</x:v>
      </x:c>
      <x:c r="M142" s="7" t="str">
        <x:v>https://research.bangor.ac.uk/portal/en/researchoutputs/distributions-and-habitat-associations-of-deepwater-corals-in-norfolk-and-baltimore-canyons-midatlantic-bight-usa(5d507b42-3a7d-441f-9753-3b4d5af76f41).html</x:v>
      </x:c>
      <x:c r="N142" s="7" t="str">
        <x:v>VERIFIED_DOI_DOCUMENT</x:v>
      </x:c>
      <x:c r="O142" s="7" t="str">
        <x:v>B01_DEEP_COLD_SEDIMENT_EVIDENCE</x:v>
      </x:c>
      <x:c r="P142" s="11" t="str">
        <x:v>HIGH</x:v>
      </x:c>
      <x:c r="Q142" s="7" t="str">
        <x:v>Deep-sea corals including gorgonians, scleractinians (e.g., Lophelia pertusa, Solenosmilia variabilis), and octocorals.</x:v>
      </x:c>
      <x:c r="R142" s="7" t="str">
        <x:v>Turbidity differences between canyons; likely suspended sediment and particles.</x:v>
      </x:c>
      <x:c r="S142" s="7" t="str">
        <x:v>Coral distribution, abundance, and habitat associations; differences in environmental conditions affect community composition.</x:v>
      </x:c>
      <x:c r="T142" s="7" t="str">
        <x:v>Deep/cold-water coral source with explicit turbidity (sediment) pathway and ecological distribution evidence.</x:v>
      </x:c>
      <x:c r="U142" s="7" t="str">
        <x:v>The study directly examines deep-sea coral distributions in two submarine canyons and explicitly attributes differences in coral abundance and species occurrence to environmental conditions, particularly turbidity. This is a clear sediment-related pathway in a deep-cold-water coral system with ecological response evidence (distribution and abundance). It meets B01 because the response is indirect/synthesized rather than experimental, which is acceptable for Tier B. Alternative B03 is less appropriate because it does not directly test sediment exposure; B02 is not a review/assessment.</x:v>
      </x:c>
      <x:c r="V142" s="7" t="str">
        <x:v>ALL_VERIFIED_CENTRAL_PEER_REVIEWED</x:v>
      </x:c>
      <x:c r="W142" s="7" t="str">
        <x:v>TBV1-0036</x:v>
      </x:c>
    </x:row>
    <x:row r="143" ht="42" customHeight="1">
      <x:c r="A143" s="17" t="str">
        <x:v>B</x:v>
      </x:c>
      <x:c r="B143" s="7" t="str">
        <x:v>CWC-FC23EA9354CF</x:v>
      </x:c>
      <x:c r="C143" s="7" t="str">
        <x:v>Disturbance to conserved bacterial communities in the cold-water gorgonian coral Eunicella verrucosa</x:v>
      </x:c>
      <x:c r="D143" s="7" t="str">
        <x:v>Emma Ransome | Sonia J. Rowley | Simon Thomas | Karen Tait | Colin B. Munn</x:v>
      </x:c>
      <x:c r="E143" s="11" t="str">
        <x:v>2014</x:v>
      </x:c>
      <x:c r="F143" s="7" t="str">
        <x:v>FEMS Microbiology Ecology</x:v>
      </x:c>
      <x:c r="G143" s="7" t="str">
        <x:v>article</x:v>
      </x:c>
      <x:c r="H143" s="7" t="str">
        <x:v>10.1111/1574-6941.12398</x:v>
      </x:c>
      <x:c r="I143" s="7" t="str">
        <x:v>https://doi.org/10.1111/1574-6941.12398</x:v>
      </x:c>
      <x:c r="J143" s="7" t="str">
        <x:v>The bacterial communities associated with healthy and diseased colonies of the cold-water gorgonian coral Eunicella verrucosa at three sites off the south-west coast of England were compared using denaturing gradient gel electrophoresis (DGGE) and clone libraries. Significant differences in community structure between healthy and diseased samples were discovered, as were differences in the level of disturbance to these communities at each site; this correlated with depth and sediment load. The majority of cloned sequences from healthy coral tissue affiliated with the Gammaproteobacteria. The stability of the bacterial community and dominance of specific genera found across visibly healthy colonies suggest the presence of a specific microbial community. Affiliations included a high proportion of Endozoicomonas sequences, which were most similar to sequences found in tropical corals. This genus has been found in a number of invertebrates and is suggested to have a role in coral health and in the metabolisation of dimethylsulfoniopropionate (DMSP) produced by zooxanthellae. However, screening of colonies for the presence of zooxanthellae produced a negative result. Diseased colonies showed a decrease in affiliated clones and an increase in clones related to potentially harmful/transient microorganisms but no increase in a particular pathogen. This study demonstrates that a better understanding of these bacterial communities, the factors that affect them and their role in coral health and disease will be of critical importance in predicting future threats to temperate gorgonian communities.</x:v>
      </x:c>
      <x:c r="K143" s="11" t="str">
        <x:v>YES</x:v>
      </x:c>
      <x:c r="L143" s="7" t="str">
        <x:v>FROZEN_PUBLIC_FULL_TEXT_LOCATION</x:v>
      </x:c>
      <x:c r="M143" s="7" t="str">
        <x:v>https://academic.oup.com/femsec/article-pdf/90/2/404/18145636/90-2-404.pdf</x:v>
      </x:c>
      <x:c r="N143" s="7" t="str">
        <x:v>VERIFIED_DOI_DOCUMENT</x:v>
      </x:c>
      <x:c r="O143" s="7" t="str">
        <x:v>B01_DEEP_COLD_SEDIMENT_EVIDENCE</x:v>
      </x:c>
      <x:c r="P143" s="11" t="str">
        <x:v>HIGH</x:v>
      </x:c>
      <x:c r="Q143" s="7" t="str">
        <x:v>Cold-water gorgonian coral Eunicella verrucosa and its associated bacterial communities</x:v>
      </x:c>
      <x:c r="R143" s="7" t="str">
        <x:v>Sediment load (correlated with depth) at three sites off the south-west coast of England</x:v>
      </x:c>
      <x:c r="S143" s="7" t="str">
        <x:v>Disturbance to bacterial community structure; differences between healthy and diseased colonies, with community disturbance correlated to sediment load</x:v>
      </x:c>
      <x:c r="T143" s="7" t="str">
        <x:v>Deep/cold-water coral study with explicit sediment load factor and ecological (microbial community) response evidence; meets broader Tier B standard for sediment-related effects on cold-water corals</x:v>
      </x:c>
      <x:c r="U143" s="7" t="str">
        <x:v>This study examines bacterial communities associated with the cold-water gorgonian coral Eunicella verrucosa and reports that disturbance to these communities correlates with sediment load. The organism is a cold-water coral, the stressor is explicitly sediment load, and the response is ecological (microbial community structure), which is relevant to coral health. This fits B01 (deep/cold sediment evidence) because it provides indirect biological evidence of sediment effects on a cold-water coral. Closest alternative would be exclusion for lacking direct coral physiological response, but Tier B explicitly allows indirect responses and broader evidence. The study is substantive and not merely a discovery page, so include.</x:v>
      </x:c>
      <x:c r="V143" s="7" t="str">
        <x:v>ALL_VERIFIED_CENTRAL_PEER_REVIEWED</x:v>
      </x:c>
      <x:c r="W143" s="7" t="str">
        <x:v>TBV1-1436</x:v>
      </x:c>
    </x:row>
    <x:row r="144" ht="42" customHeight="1">
      <x:c r="A144" s="17" t="str">
        <x:v>B</x:v>
      </x:c>
      <x:c r="B144" s="7" t="str">
        <x:v>GLV4-CE38B43B5A2D</x:v>
      </x:c>
      <x:c r="C144" s="7" t="str">
        <x:v>Dredging Program for the Cape Lambert Port Upgrade</x:v>
      </x:c>
      <x:c r="D144" s="7" t="str"/>
      <x:c r="E144" s="11" t="str">
        <x:v>2010</x:v>
      </x:c>
      <x:c r="F144" s="7" t="str">
        <x:v>epa.wa.gov.au</x:v>
      </x:c>
      <x:c r="G144" s="7" t="str">
        <x:v>report</x:v>
      </x:c>
      <x:c r="H144" s="7" t="str"/>
      <x:c r="I144" s="7" t="str">
        <x:v>https://www.epa.wa.gov.au/sites/default/files/Referral_Documentation/A1672_R1254-Environmental%20Referral%20Document%2C%20Rev%2010.pdf</x:v>
      </x:c>
      <x:c r="J144" s="7" t="str">
        <x:v>the autumn in March and April (Stoddart and Gilmour 2005). High levels of suspended solids have been shown to negatively impact on the fertilisation of eggs and larvae survival prior to settlement, while sedimentation may impact on the coral larvae settlement choice, settlement success, bail-out rate, and subsequent survival (Babcock and Smith 2000; Gilmour 1999; Babcock and Mundy 1996; Te 1992). Elevated levels of suspended SINCLAIR KNIGHT MERZ PAGE 5-34 ROBE RIVER IRON ORE Dredging Program for the Cape Lambert Port Upgrade Referral Document solids and sedimentation caused by dredging and spo</x:v>
      </x:c>
      <x:c r="K144" s="11" t="str">
        <x:v>YES</x:v>
      </x:c>
      <x:c r="L144" s="7" t="str">
        <x:v>PUBLIC_FULL_DOCUMENT_LOCATION</x:v>
      </x:c>
      <x:c r="M144" s="7" t="str">
        <x:v>https://www.epa.wa.gov.au/sites/default/files/Referral_Documentation/A1672_R1254-Environmental%20Referral%20Document%2C%20Rev%2010.pdf</x:v>
      </x:c>
      <x:c r="N144" s="7" t="str">
        <x:v>VERIFIED_DIRECT_DOCUMENT_URL</x:v>
      </x:c>
      <x:c r="O144" s="7" t="str">
        <x:v>B05_BROAD_SYNTHESIS_WITH_TARGET_EVIDENCE</x:v>
      </x:c>
      <x:c r="P144" s="11" t="str">
        <x:v>HIGH</x:v>
      </x:c>
      <x:c r="Q144" s="7" t="str">
        <x:v>Coral larvae and subsequent survival are explicitly discussed, including fertilisation, settlement choice, settlement success, bail-out rate, and survival.</x:v>
      </x:c>
      <x:c r="R144" s="7" t="str">
        <x:v>Elevated suspended solids and sedimentation caused by dredging are the identified stressors.</x:v>
      </x:c>
      <x:c r="S144" s="7" t="str">
        <x:v>The referral document states that high suspended solids negatively impact coral egg fertilisation, larval survival, settlement, and post-settlement survival, citing multiple studies.</x:v>
      </x:c>
      <x:c r="T144" s="7" t="str">
        <x:v>This is a substantive government regulatory assessment document for a dredging program that separately reports coral-specific evidence about sediment impacts, even though it covers other environmental effects and taxa.</x:v>
      </x:c>
      <x:c r="U144" s="7" t="str">
        <x:v>The record is a formal environmental referral document for a dredging program. The abstract explicitly addresses sediment-related stressors (suspended solids and sedimentation) and coral biological responses, including larval fertilization, survival, settlement choice, and bail-out. This provides a clear coral sediment-effects assessment suitable for Tier B. The closest alternative, B04, is for tropical studies directly testing effects, but this document is a synthesis/assessment rather than an experimental study; hence B05 is the most appropriate category. The document is substantive and not a mere search page, so it is included.</x:v>
      </x:c>
      <x:c r="V144" s="7" t="str">
        <x:v>ALL_VERIFIED_NON_TROPICAL_TIER_B_INCLUSIONS</x:v>
      </x:c>
      <x:c r="W144" s="7" t="str">
        <x:v>TBV1-0493</x:v>
      </x:c>
    </x:row>
    <x:row r="145" ht="42" customHeight="1">
      <x:c r="A145" s="17" t="str">
        <x:v>B</x:v>
      </x:c>
      <x:c r="B145" s="7" t="str">
        <x:v>CWC-93ACCC48BE75</x:v>
      </x:c>
      <x:c r="C145" s="7" t="str">
        <x:v>Dynamic change, recruitment and resilience in reef-forming glass sponges</x:v>
      </x:c>
      <x:c r="D145" s="7" t="str">
        <x:v>A Kahn | Laura J. Vehring | Rachel Brown | Sally P. Leys</x:v>
      </x:c>
      <x:c r="E145" s="11" t="str">
        <x:v>2015</x:v>
      </x:c>
      <x:c r="F145" s="7" t="str">
        <x:v>Journal of the Marine Biological Association of the United Kingdom</x:v>
      </x:c>
      <x:c r="G145" s="7" t="str">
        <x:v>article</x:v>
      </x:c>
      <x:c r="H145" s="7" t="str">
        <x:v>10.1017/s0025315415000466</x:v>
      </x:c>
      <x:c r="I145" s="7" t="str">
        <x:v>https://doi.org/10.1017/s0025315415000466</x:v>
      </x:c>
      <x:c r="J145" s="7" t="str">
        <x:v>Glass sponge reefs on the continental shelf of western Canada and south-east Alaska are considered stable deep-sea habitats that do not change significantly over time. Research cruises using a remotely operated vehicle equipped with accurate GPS positioning have allowed us to observe the same sponges at two reefs in the Strait of Georgia, British Columbia to document recruitment, growth and response to damage over time. Spermatocysts and putative embryos found in winter suggest annual, asynchronous reproduction. Juvenile sponges (2–10 cm in osculum diameter) in densities up to 1 m −2 were more concentrated near live sponges and sponge skeletons than away (Spearman rank correlations, P &lt; 0.0001 for live cover and for skeletons), suggesting that recruitment occurs in particular regions using sponge skeletons as substrate. Most sponges showed no change in shape or size over 2–3 years, but some had died while others showed growth of 1–9 cm year −1 . Deposition rates of reef-cementing sediments were 97 mm year −1 at Galiano Reef and 137 mm year −1 at Fraser Reef, but sediments eroded so that there was no net gain or loss over time. Sponges recovered within 1 year from small-scale damage that mimicked bites by fish or nudibranchs; however sponges did not recover from crushing of a large area (1.5 × 2 m 2 ) even 3 years later. These observations and experiments show that while recruitment and growth of sponge reefs is more dynamic than previously thought, the reefs are not resilient in the face of larger-scale disturbances such as might be inflicted by trawling.</x:v>
      </x:c>
      <x:c r="K145" s="11" t="str">
        <x:v>NO</x:v>
      </x:c>
      <x:c r="L145" s="7" t="str">
        <x:v>NOT_CONFIRMED</x:v>
      </x:c>
      <x:c r="M145" s="7" t="str"/>
      <x:c r="N145" s="7" t="str">
        <x:v>VERIFIED_DOI_DOCUMENT</x:v>
      </x:c>
      <x:c r="O145" s="7" t="str">
        <x:v>B01_DEEP_COLD_SEDIMENT_EVIDENCE</x:v>
      </x:c>
      <x:c r="P145" s="11" t="str">
        <x:v>HIGH</x:v>
      </x:c>
      <x:c r="Q145" s="7" t="str">
        <x:v>Glass sponges (Hexactinellida) on continental shelf reefs of western Canada (Strait of Georgia, British Columbia).</x:v>
      </x:c>
      <x:c r="R145" s="7" t="str">
        <x:v>Sediment deposition rates (97–137 mm/yr) and erosion on sponge reefs; larger-scale disturbances (trawling) mentioned.</x:v>
      </x:c>
      <x:c r="S145" s="7" t="str">
        <x:v>Recruitment, growth rates (1–9 cm/yr), mortality, recovery from small-scale damage and lack of recovery from large-scale crushing; assessment of reef resilience and sediment dynamics.</x:v>
      </x:c>
      <x:c r="T145" s="7" t="str">
        <x:v>Deep/cold-water sponge source with explicit sediment deposition pathway and biological/ecological monitoring and impact evidence, meeting B01.</x:v>
      </x:c>
      <x:c r="U145" s="7" t="str">
        <x:v>This article examines glass sponge reefs in British Columbia, documenting recruitment, growth, mortality, and recovery after damage. It explicitly measures sediment deposition and erosion rates (97–137 mm/yr) on the reefs, and links these to reef stability and resilience, noting lack of recovery from large-scale disturbance such as trawling. This is deep/cold-water sponge evidence with an explicit sediment deposition pathway and biological/ecological monitoring and impact evidence, meeting B01. It is not B03 because sediment exposure is not directly tested experimentally; not B02 because it is primary research rather than a review/assessment.</x:v>
      </x:c>
      <x:c r="V145" s="7" t="str">
        <x:v>ALL_VERIFIED_CENTRAL_PEER_REVIEWED</x:v>
      </x:c>
      <x:c r="W145" s="7" t="str">
        <x:v>TBV1-0037</x:v>
      </x:c>
    </x:row>
    <x:row r="146" ht="42" customHeight="1">
      <x:c r="A146" s="17" t="str">
        <x:v>B</x:v>
      </x:c>
      <x:c r="B146" s="7" t="str">
        <x:v>GLV4-1F81B531BFB9</x:v>
      </x:c>
      <x:c r="C146" s="7" t="str">
        <x:v>Eastern Newfoundland Offshore Exploration Drilling Program</x:v>
      </x:c>
      <x:c r="D146" s="7" t="str"/>
      <x:c r="E146" s="11" t="str"/>
      <x:c r="F146" s="7" t="str">
        <x:v>iaac-aeic.gc.ca</x:v>
      </x:c>
      <x:c r="G146" s="7" t="str">
        <x:v>report</x:v>
      </x:c>
      <x:c r="H146" s="7" t="str"/>
      <x:c r="I146" s="7" t="str">
        <x:v>https://iaac-aeic.gc.ca/050/documents/p80132/121322E.pdf</x:v>
      </x:c>
      <x:c r="J146" s="7" t="str">
        <x:v>events by reducing filter feeding and thus decreasing their intake of sediment particles (Tjensvoll et al. 2013; Kutti et al. 2015). However, introduction of sediment sizes atypical from natural conditions may reduce organism condition (Kutti et al. 2015). Larval sponges are more sensitive to sedimentation, resulting in higher larval mortality and decreased settlement (Maldonado et al. 2008; Bell et al. 2015). Therefore, corals and sponges are often adapted to tolerate short-term exposure to drill cutting sedimentation with potential effects on adults related to chronic exposure or high sedime</x:v>
      </x:c>
      <x:c r="K146" s="11" t="str">
        <x:v>YES</x:v>
      </x:c>
      <x:c r="L146" s="7" t="str">
        <x:v>PUBLIC_FULL_DOCUMENT_LOCATION</x:v>
      </x:c>
      <x:c r="M146" s="7" t="str">
        <x:v>https://iaac-aeic.gc.ca/050/documents/p80132/121322E.pdf</x:v>
      </x:c>
      <x:c r="N146" s="7" t="str">
        <x:v>VERIFIED_DIRECT_DOCUMENT_URL</x:v>
      </x:c>
      <x:c r="O146" s="7" t="str">
        <x:v>B02_DEEP_COLD_REVIEW_ASSESSMENT</x:v>
      </x:c>
      <x:c r="P146" s="11" t="str">
        <x:v>HIGH</x:v>
      </x:c>
      <x:c r="Q146" s="7" t="str">
        <x:v>Corals and sponges explicitly mentioned; includes larval sponges and adult corals/sponges.</x:v>
      </x:c>
      <x:c r="R146" s="7" t="str">
        <x:v>Drill cutting sedimentation, sediment particles, atypical sediment sizes, chronic exposure to high sedimentation.</x:v>
      </x:c>
      <x:c r="S146" s="7" t="str">
        <x:v>Reduced filter feeding, decreased sediment particle intake, reduced organism condition, higher larval mortality, decreased settlement in response to sedimentation.</x:v>
      </x:c>
      <x:c r="T146" s="7" t="str">
        <x:v>Government/regulatory assessment report for Eastern Newfoundland offshore drilling with direct sediment-impact focus on cold-water corals and sponges, providing evidence on exposure and biological responses.</x:v>
      </x:c>
      <x:c r="U146" s="7" t="str">
        <x:v>The document is a substantive assessment report from a federal environmental assessment process (iaac-aeic.gc.ca) concerning an offshore drilling program in Eastern Newfoundland, a cold-water region. The abstract snippet explicitly discusses sediment effects on corals and sponges: reduced filter feeding, decreased intake of sediment particles, reduced organism condition, and increased larval mortality with decreased settlement. This directly matches B02_DEEP_COLD_REVIEW_ASSESSMENT: a regulatory assessment with a direct sediment-impact focus and clear potential to inform effects and mitigation. The closest alternative would be B01, but B02 is more specific to the document type (assessment report) and its clear regulatory assessment value. No exclusions apply; the stressor is sedimentary/drill cuttings, and organisms are corals and sponges.</x:v>
      </x:c>
      <x:c r="V146" s="7" t="str">
        <x:v>ALL_VERIFIED_NON_TROPICAL_TIER_B_INCLUSIONS</x:v>
      </x:c>
      <x:c r="W146" s="7" t="str">
        <x:v>TBV1-0428</x:v>
      </x:c>
    </x:row>
    <x:row r="147" ht="42" customHeight="1">
      <x:c r="A147" s="17" t="str">
        <x:v>B</x:v>
      </x:c>
      <x:c r="B147" s="7" t="str">
        <x:v>CWC-E923FE61E045</x:v>
      </x:c>
      <x:c r="C147" s="7" t="str">
        <x:v>Effect of suspended sediment on the nutritional mode of scleractinian corals and their adaptability: state of knowledge and research</x:v>
      </x:c>
      <x:c r="D147" s="7" t="str">
        <x:v>俞晓磊 罗勇</x:v>
      </x:c>
      <x:c r="E147" s="11" t="str">
        <x:v>2021</x:v>
      </x:c>
      <x:c r="F147" s="7" t="str">
        <x:v>Acta Ecologica Sinica</x:v>
      </x:c>
      <x:c r="G147" s="7" t="str">
        <x:v>article</x:v>
      </x:c>
      <x:c r="H147" s="7" t="str">
        <x:v>10.5846/stxb201908071663</x:v>
      </x:c>
      <x:c r="I147" s="7" t="str">
        <x:v>https://doi.org/10.5846/stxb201908071663</x:v>
      </x:c>
      <x:c r="J147" s="7" t="str">
        <x:v>营养方式是造礁石珊瑚获取能量与营养物质的基础，影响其生长与分布。近年来珊瑚礁区悬浮物含量与组分结构发生显著变化，其对造礁石珊瑚营养方式的诸多影响正成为当前研究热点。研究系统综述了珊瑚礁区悬浮物变化特征、悬浮物对造礁石珊瑚营养方式的影响及其适应性研究现状。发现近年来人类活动加剧与强降雨事件频发是驱动珊瑚礁，尤其是近岸珊瑚礁区悬浮物含量递增、组分改变与变频加剧的主因；悬浮物变化对造礁石珊瑚光合自养与异养营养的影响存在显著的种间差异，这主要与悬浮物消光效应、生物可利用性及造礁石珊瑚种类密切相关。虽然少数种类造礁石珊瑚具光合可塑性或异养可塑性，能在高含量悬浮物存在的弱光环境中较好生长。然而对绝大多数造礁石珊瑚而言，其营养方式适应性较差，无法在悬浮物影响下较好地获取生命活动所需的能量与营养物质，进而难以生存。总体来说，悬浮物被认为是近年来影响造礁石珊瑚生长与分布的重要环境因子之一，而关于造礁石珊瑚营养方式对悬浮物变化的响应及其适应机制，当前研究仍较薄弱，需要进一步加强相关研究。;The nutritional mode is the basis for scleractinian corals to obtain energy and nutrients, which affects their growth and distribution. In recent years, the content and composition of suspended sediment in coral reefs have changed significantly, and many effects on the nutritional mode of scleractinian corals are becoming the focus of current research. This article reviewed the characteristics of the suspended sediment changes in coral reefs, the effects of suspended sediment on the nutritional mode of scleractinian corals and their adaptability. The results show that the intensification of human activities and the frequent occurrence of heavy rainfall events in recent years are the main reasons driving the increase in suspended sediment concentration, composition changes and frequency conversion in coral reefs, especially in fringing reefs. The influences of suspended sediment on autotrophy and heterotrophy of scleractinian corals are significantly different, which are mainly related to the extinction effect and bioavailability of suspended sediment, and the species of scleractinian corals. Although some species of scleractinian corals have photosynthetic plasticity or heterotrophic plasticity, they can grow well in low-light environments where high levels of suspended sediment exist. However, for the majority of scleractinian corals, the adaptability of nutritional mode is poor, so they can't obtain the energy and nutrients needed for living better under the influence of suspended sediment, which makes them difficult to survive. Overall, suspended sediment is considered to be one of the important environmental factors affecting the growth and distribution of scleractinian corals in recent years. However, the present studies on the response and adaptability mechanism of the nutritional mode of scleractinian corals to the change of suspended sediment are still rare, and further research is needed.</x:v>
      </x:c>
      <x:c r="K147" s="11" t="str">
        <x:v>YES</x:v>
      </x:c>
      <x:c r="L147" s="7" t="str">
        <x:v>FROZEN_PUBLIC_FULL_TEXT_LOCATION</x:v>
      </x:c>
      <x:c r="M147" s="7" t="str"/>
      <x:c r="N147" s="7" t="str">
        <x:v>VERIFIED_DOI_DOCUMENT</x:v>
      </x:c>
      <x:c r="O147" s="7" t="str">
        <x:v>B05_BROAD_SYNTHESIS_WITH_TARGET_EVIDENCE</x:v>
      </x:c>
      <x:c r="P147" s="11" t="str">
        <x:v>HIGH</x:v>
      </x:c>
      <x:c r="Q147" s="7" t="str">
        <x:v>Scleractinian corals (reef-building corals) in tropical reef systems; focus on their nutritional mode (autotrophy and heterotrophy).</x:v>
      </x:c>
      <x:c r="R147" s="7" t="str">
        <x:v>Suspended sediment in coral reefs: increased concentrations, changed composition, reduced light (extinction effect), and altered bioavailability due to human activities and heavy rainfall.</x:v>
      </x:c>
      <x:c r="S147" s="7" t="str">
        <x:v>Reviews impacts on coral autotrophic and heterotrophic nutrition, growth, distribution, and survival; discusses species-specific photosynthetic/heterotrophic plasticity and adaptation; identifies suspended sediment as a key factor influencing coral health.</x:v>
      </x:c>
      <x:c r="T147" s="7" t="str">
        <x:v>A substantive review article that separately synthesizes coral-specific evidence on suspended-sediment effects, meeting the broad-synthesis criterion for sediment effects on corals.</x:v>
      </x:c>
      <x:c r="U147" s="7" t="str">
        <x:v>This is a peer-reviewed review on suspended-sediment effects on scleractinian coral nutritional modes, clearly meeting Tier B inclusion. The organism is tropical reef-building corals; the stressor is suspended sediment (explicitly discussed); the response/assessment includes altered nutrition, growth, and survival, with species-specific adaptability. It is not a primary experimental study, so B04 (direct test) is less appropriate; rather, it is a broad synthesis of sediment effects focused on corals, fitting B05. It provides substantive evidence and is a valuable source for understanding exposure–response relationships and adaptive capacity. No exclusion criteria apply: it has coral evidence, a clear sediment pathway, and relevant biological responses. Confidence is HIGH based on a detailed abstract. Full text is not required for screening decisions.</x:v>
      </x:c>
      <x:c r="V147" s="7" t="str">
        <x:v>ALL_VERIFIED_NON_TROPICAL_TIER_B_INCLUSIONS</x:v>
      </x:c>
      <x:c r="W147" s="7" t="str">
        <x:v>TBV1-1026</x:v>
      </x:c>
    </x:row>
    <x:row r="148" ht="42" customHeight="1">
      <x:c r="A148" s="17" t="str">
        <x:v>B</x:v>
      </x:c>
      <x:c r="B148" s="7" t="str">
        <x:v>CWC-5B37CB5D6689</x:v>
      </x:c>
      <x:c r="C148" s="7" t="str">
        <x:v>Effects of dissolved nickel and nickel-contaminated suspended sediment on the scleractinian coral, Acropora muricata</x:v>
      </x:c>
      <x:c r="D148" s="7" t="str">
        <x:v>Megan L. Gillmore | Francesca Gissi | Lisa A. Golding | Jennifer L. Stauber | Amanda Reichelt‐Brushett | Andrea Severati | Craig Humphrey | Dianne F. Jolley</x:v>
      </x:c>
      <x:c r="E148" s="11" t="str">
        <x:v>2020</x:v>
      </x:c>
      <x:c r="F148" s="7" t="str">
        <x:v>Marine Pollution Bulletin</x:v>
      </x:c>
      <x:c r="G148" s="7" t="str">
        <x:v>article</x:v>
      </x:c>
      <x:c r="H148" s="7" t="str">
        <x:v>10.1016/j.marpolbul.2020.110886</x:v>
      </x:c>
      <x:c r="I148" s="7" t="str">
        <x:v>https://doi.org/10.1016/j.marpolbul.2020.110886</x:v>
      </x:c>
      <x:c r="J148" s="7" t="str">
        <x:v>Intensification of lateritic nickel mining in Southeast Asia and Melanesia potentially threatens coastal ecosystems from increased exposure to nickel and suspended sediment. This study investigated the response of Acropora muricata when exposed to either dissolved nickel, clean suspended sediment or nickel-contaminated suspended sediment for 7 days, followed by a 7-d recovery period. Significant bleaching and accumulation of nickel in coral tissue was observed only after exposure to high dissolved nickel concentrations and nickel-spiked suspended sediment. No effect on A. muricata was observed from exposure to a particulate-bound nickel concentration of 60 mg/kg acid-extractable nickel at a suspended sediment concentration of 30 mg/L TSS. This study demonstrates that bioavailability of nickel associated with suspended sediment exposure plays a key role in influencing nickel toxicity to corals. These findings assist in assessments of risk posed by increasing nickel mining activities on tropical marine ecosystems.</x:v>
      </x:c>
      <x:c r="K148" s="11" t="str">
        <x:v>YES</x:v>
      </x:c>
      <x:c r="L148" s="7" t="str">
        <x:v>FROZEN_PUBLIC_FULL_TEXT_LOCATION</x:v>
      </x:c>
      <x:c r="M148" s="7" t="str">
        <x:v>https://figshare.com/articles/journal_contribution/Effects_of_dissolved_nickel_and_nickel-contaminated_suspended_sediment_on_the_scleractinian_coral_Acropora_muricata/27772971/1/files/50541885.pdf</x:v>
      </x:c>
      <x:c r="N148" s="7" t="str">
        <x:v>VERIFIED_DOI_DOCUMENT</x:v>
      </x:c>
      <x:c r="O148" s="7" t="str">
        <x:v>B04_TROPICAL_PHYSICAL_SEDIMENT_ANALOGUE</x:v>
      </x:c>
      <x:c r="P148" s="11" t="str">
        <x:v>HIGH</x:v>
      </x:c>
      <x:c r="Q148" s="7" t="str">
        <x:v>Tropical scleractinian coral Acropora muricata</x:v>
      </x:c>
      <x:c r="R148" s="7" t="str">
        <x:v>Clean suspended sediment and nickel-contaminated suspended sediment (particulate-bound nickel), with dissolved nickel as co-stressor</x:v>
      </x:c>
      <x:c r="S148" s="7" t="str">
        <x:v>Bleaching and tissue nickel accumulation observed at high dissolved Ni and nickel-spiked suspended sediment; no effect at 60 mg/kg acid-extractable Ni at 30 mg/L TSS</x:v>
      </x:c>
      <x:c r="T148" s="7" t="str">
        <x:v>Direct experimental exposure of a tropical coral to suspended sediment with explicit particle/deposition pathway and biological response (bleaching, accumulation), qualifying as B04 physical sediment analogue.</x:v>
      </x:c>
      <x:c r="U148" s="7" t="str">
        <x:v>Tropical scleractinian coral Acropora muricata was experimentally exposed to clean and nickel-contaminated suspended sediment for 7 days with recovery. Relevant biological responses included bleaching and tissue nickel accumulation. This directly tests physical sediment exposure (suspended sediment) with a clear particle/deposition pathway, satisfying B04. Preferable to CHAIN_ONLY because the study provides direct response evidence; preferable to exclusion because the sediment pathway is explicit despite nickel as co-stressor.</x:v>
      </x:c>
      <x:c r="V148" s="7" t="str">
        <x:v>SPARING_TOP_25_TROPICAL_DIRECT_PHYSICAL_ANALOGUES</x:v>
      </x:c>
      <x:c r="W148" s="7" t="str">
        <x:v>TBV1-1136</x:v>
      </x:c>
    </x:row>
    <x:row r="149" ht="42" customHeight="1">
      <x:c r="A149" s="17" t="str">
        <x:v>B</x:v>
      </x:c>
      <x:c r="B149" s="7" t="str">
        <x:v>CWC-78ED16AEBD73</x:v>
      </x:c>
      <x:c r="C149" s="7" t="str">
        <x:v>Effects of Dredging Induced Resuspension of Fine-Grain Sediment on Two Scleractinian Corals, Montastraea cavernosa and Stephanocoenia intersepta .</x:v>
      </x:c>
      <x:c r="D149" s="7" t="str">
        <x:v>Cheryl Hankins | Keisha D. Bahr | Daphne White | Yung Jones | Adam Glahn | Wade Lehmann | United States Environmental Protection Agency, Region 4, Water Division, Atlanta, USA | Vladimir N. Kosmynin | William S. Fisher</x:v>
      </x:c>
      <x:c r="E149" s="11" t="str">
        <x:v>2024</x:v>
      </x:c>
      <x:c r="F149" s="7" t="str">
        <x:v>ASEAN Journal of Psychiatry</x:v>
      </x:c>
      <x:c r="G149" s="7" t="str">
        <x:v>article</x:v>
      </x:c>
      <x:c r="H149" s="7" t="str">
        <x:v>10.54615/2231-7805.24.27.650</x:v>
      </x:c>
      <x:c r="I149" s="7" t="str">
        <x:v>https://doi.org/10.54615/2231-7805.24.27.650</x:v>
      </x:c>
      <x:c r="J149" s="7" t="str">
        <x:v>Dredging, the removal of sediments and rocks from an aquatic environment, is necessary to ensure that adequate coastal infrastructure is maintained for maritime shipping. However, the sediment plumes generated by dredging could have adverse impacts on coral reef ecosystems that are already facing numerous local and global stressors. This is especially true in areas where the predominant strata are aragonitic limestone which must be physically broken apart to be extracted, leading to very high concentrations of fine suspended sediment in the water column. To examine the role suspended sediment plays in stress, this study exposed two coral species (Montastraea cavernosa and Stephanocoenia intersepta) to fine-grain sediment ranging from 0 to 511.7 mg L-1 for 30 days. Sediment characteristics were analyzed and water quality parameters were monitored. Growth, mortality and three bleaching indicators were documented after 10 and 30 days. No mortality or tissue loss was observed in either species. No significant differences in growth were observed in the 10-day exposure; however, both species had significant declines in calcification at the 30-day exposure. Bleaching indicators did not appear to be affected by sediment exposure at day 10 or 30. Reduction in photosynthetically active radiation was highly correlated with both turbidity metrics of NTU units and Total Suspended Solids. These data indicate that sediment may minimally impact coral in short-term exposures but can affect growth in longer-term exposures in multi-year dredging projects in sensitive tropical and sub-tropical environments. Keywords Dredging; Turbidity; Coral; Light; Photosynthetically active radiation</x:v>
      </x:c>
      <x:c r="K149" s="11" t="str">
        <x:v>YES</x:v>
      </x:c>
      <x:c r="L149" s="7" t="str">
        <x:v>FROZEN_PUBLIC_FULL_TEXT_LOCATION</x:v>
      </x:c>
      <x:c r="M149" s="7" t="str">
        <x:v>https://www.walshmedicalmedia.com/open-access/effects-of-dredging-induced-resuspension-of-finegrain-sediment-on-two--scleractinian-corals-imontastraea-cavernosai-and-.pdf</x:v>
      </x:c>
      <x:c r="N149" s="7" t="str">
        <x:v>VERIFIED_DOI_DOCUMENT</x:v>
      </x:c>
      <x:c r="O149" s="7" t="str">
        <x:v>B04_TROPICAL_PHYSICAL_SEDIMENT_ANALOGUE</x:v>
      </x:c>
      <x:c r="P149" s="11" t="str">
        <x:v>HIGH</x:v>
      </x:c>
      <x:c r="Q149" s="7" t="str">
        <x:v>Two scleractinian corals: Montastraea cavernosa and Stephanocoenia intersepta.</x:v>
      </x:c>
      <x:c r="R149" s="7" t="str">
        <x:v>Dredging-induced resuspension of fine-grain sediment; suspended sediment concentrations 0 to 511.7 mg/L for 30 days; turbidity (NTU) and total suspended solids.</x:v>
      </x:c>
      <x:c r="S149" s="7" t="str">
        <x:v>Growth/calcification significant declines at 30-day exposure; no mortality or tissue loss; bleaching indicators unaffected; PAR reduction correlated with turbidity/TSS.</x:v>
      </x:c>
      <x:c r="T149" s="7" t="str">
        <x:v>Direct experimental exposure of tropical corals to suspended sediment from dredging; reports biological responses including growth and calcification; fits B04.</x:v>
      </x:c>
      <x:c r="U149" s="7" t="str">
        <x:v>This is a tropical coral experimental study directly testing suspended sediment exposure and measuring growth, mortality, and bleaching responses. It clearly qualifies under B04 as a physical sediment analogue, reporting calcification declines after 30 days. Not CHAIN_ONLY because direct evidence is present. Not EXCLUDE because relevant sediment-response pathway is explicit.</x:v>
      </x:c>
      <x:c r="V149" s="7" t="str">
        <x:v>SPARING_TOP_25_TROPICAL_DIRECT_PHYSICAL_ANALOGUES</x:v>
      </x:c>
      <x:c r="W149" s="7" t="str">
        <x:v>TBV1-1137</x:v>
      </x:c>
    </x:row>
    <x:row r="150" ht="42" customHeight="1">
      <x:c r="A150" s="17" t="str">
        <x:v>B</x:v>
      </x:c>
      <x:c r="B150" s="7" t="str">
        <x:v>CWC-0FE476536EC6</x:v>
      </x:c>
      <x:c r="C150" s="7" t="str">
        <x:v>THE EFFECTS OF DRILLING MUDS ON MARINE INVERTEBRATE LARVAE AND ADULTS</x:v>
      </x:c>
      <x:c r="D150" s="7" t="str">
        <x:v>P. Raimondi | Arthur M. Barnett | Paul R. Krause</x:v>
      </x:c>
      <x:c r="E150" s="11" t="str">
        <x:v>1997</x:v>
      </x:c>
      <x:c r="F150" s="7" t="str">
        <x:v>Environmental Toxicology and Chemistry</x:v>
      </x:c>
      <x:c r="G150" s="7" t="str">
        <x:v>article</x:v>
      </x:c>
      <x:c r="H150" s="7" t="str">
        <x:v>10.1897/1551-5028(1997)016</x:v>
      </x:c>
      <x:c r="I150" s="7" t="str">
        <x:v>https://doi.org/10.1897/1551-5028(1997)016</x:v>
      </x:c>
      <x:c r="J150" s="7" t="str">
        <x:v>A series of laboratory experiments tested the effects of drilling muds from an active platform off southern California on larvae and adults of marine invertebrates. Red abalone (Haliotis rufescens) were used to determine effects of drilling muds on fertilization, early development, survivorship, and settlement, and experiments on adult brown cup corals (Paracyathus stearnsii) tested effects on adult survivorship, viability, and tissue loss. Exposures to drilling muds did not have an effect on abalone fertilization or early development. However, several exposures to drilling muds resulted in weak, but significant, positive effects of drilling muds on settlement of competent larvae. In contrast, settlement of red abalone larvae on natural coralline algal crusts decreased with increasing concentrations of drilling muds. This suggests that drilling muds affect either the abalone's ability to detect natural settlement inducers, or they affect the inducer itself. Exposure of brown cup corals to concentrations of drilling muds adversely impacted their survivorship and viability. These effects were likely caused by increased tissue mortality of the coral polyps.</x:v>
      </x:c>
      <x:c r="K150" s="11" t="str">
        <x:v>NO</x:v>
      </x:c>
      <x:c r="L150" s="7" t="str">
        <x:v>NOT_CONFIRMED</x:v>
      </x:c>
      <x:c r="M150" s="7" t="str"/>
      <x:c r="N150" s="7" t="str">
        <x:v>VERIFIED_DOI_DOCUMENT</x:v>
      </x:c>
      <x:c r="O150" s="7" t="str">
        <x:v>B01_DEEP_COLD_SEDIMENT_EVIDENCE</x:v>
      </x:c>
      <x:c r="P150" s="11" t="str">
        <x:v>HIGH</x:v>
      </x:c>
      <x:c r="Q150" s="7" t="str">
        <x:v>Adult brown cup coral (Paracyathus stearnsii); red abalone larvae also tested but not the primary target.</x:v>
      </x:c>
      <x:c r="R150" s="7" t="str">
        <x:v>Drilling muds from an active platform off southern California, tested at various concentrations in laboratory exposures.</x:v>
      </x:c>
      <x:c r="S150" s="7" t="str">
        <x:v>Drilling muds adversely impacted coral survivorship and viability, attributed to increased tissue mortality of coral polyps.</x:v>
      </x:c>
      <x:c r="T150" s="7" t="str">
        <x:v>Direct experimental evidence of cold-water coral (Paracyathus stearnsii) exposed to drilling mud (sediment pathway), with measured biological responses (survivorship, viability, tissue loss). Meets B01 as a deep/cold-water coral study with explicit sediment/drill-mud pathway and impact evidence.</x:v>
      </x:c>
      <x:c r="U150" s="7" t="str">
        <x:v>The abstract reports laboratory experiments exposing adult brown cup corals (Paracyathus stearnsii) to drilling muds from a southern California platform, showing significant adverse effects on survivorship and viability caused by coral polyp tissue mortality. This directly provides cold-water coral sediment-impact evidence under B01. The drilling mud is a form of sediment/suspended-particle exposure, and the responses are biological and relevant. The abalone data do not affect inclusion. The record is a substantive peer-reviewed article, and the decision is distinct from B03 because B01 specifically covers cold-water corals with drilling-mud pathways. No other exclusion criteria apply.</x:v>
      </x:c>
      <x:c r="V150" s="7" t="str">
        <x:v>ALL_VERIFIED_CENTRAL_PEER_REVIEWED</x:v>
      </x:c>
      <x:c r="W150" s="7" t="str">
        <x:v>TBV1-0263</x:v>
      </x:c>
    </x:row>
    <x:row r="151" ht="42" customHeight="1">
      <x:c r="A151" s="17" t="str">
        <x:v>B</x:v>
      </x:c>
      <x:c r="B151" s="7" t="str">
        <x:v>CWC-169197C49054</x:v>
      </x:c>
      <x:c r="C151" s="7" t="str">
        <x:v>Effects of sediment exposure on corals: a systematic review of experimental studies</x:v>
      </x:c>
      <x:c r="D151" s="7" t="str">
        <x:v>Lillian J. Tuttle | Megan J. Donahue</x:v>
      </x:c>
      <x:c r="E151" s="11" t="str">
        <x:v>2022</x:v>
      </x:c>
      <x:c r="F151" s="7" t="str">
        <x:v>Environmental Evidence</x:v>
      </x:c>
      <x:c r="G151" s="7" t="str">
        <x:v>review</x:v>
      </x:c>
      <x:c r="H151" s="7" t="str">
        <x:v>10.1186/s13750-022-00256-0</x:v>
      </x:c>
      <x:c r="I151" s="7" t="str">
        <x:v>https://doi.org/10.1186/s13750-022-00256-0</x:v>
      </x:c>
      <x:c r="J151" s="7" t="str">
        <x:v>Background: Management actions that address local-scale stressors on coral reefs can rapidly improve water quality and reef ecosystem condition. In response to reef managers who need actionable thresholds for coastal runoff and dredging, we conducted a systematic review and meta-analysis of experimental studies that explore the effects of sediment on corals. We identified exposure levels that 'adversely' affect corals while accounting for sediment bearing (deposited vs. suspended), coral life-history stage, and species, thus providing empirically based estimates of stressor thresholds on vulnerable coral reefs. Methods: We searched online databases and grey literature to obtain a list of potential studies, assess their eligibility, and critically appraise them for validity and risk of bias. Data were extracted from eligible studies and grouped by sediment bearing and coral response to identify thresholds in terms of the lowest exposure levels that induced an adverse physiological and/or lethal effect. Meta-regression estimated the dose-response relationship between exposure level and the magnitude of a coral's response, with random-effects structures to estimate the proportion of variance explained by factors such as study and coral species. Review findings: After critical appraisal of over 15,000 records, our systematic review of corals' responses to sediment identified 86 studies to be included in meta-analyses (45 studies for deposited sediment and 42 studies for suspended sediment). The lowest sediment exposure levels that caused adverse effects in corals were well below the levels previously described as 'normal' on reefs: for deposited sediment, adverse effects occurred as low as 1 mg/cm(2)/day for larvae (limited settlement rates) and 4.9 mg/cm(2)/day for adults (tissue mortality); for suspended sediment, adverse effects occurred as low as 10 mg/L for juveniles (reduced growth rates) and 3.2 mg/L for adults (bleaching and tissue mortality). Corals take at least 10 times longer to experience tissue mortality from exposure to suspended sediment than to comparable concentrations of deposited sediment, though physiological changes manifest 10 times faster in response to suspended sediment than to deposited sediment. Threshold estimates derived from continuous response variables (magnitude of adverse effect) largely matched the lowest-observed adverse-effect levels from a summary of studies, or otherwise helped us to identify research gaps that should be addressed to better quantify the dose-response relationship between sediment exposure and coral health. Conclusions: We compiled a global dataset that spans three oceans, over 140 coral species, decades of research, and a range of field- and lab-based approaches. Our review and meta-analysis inform the no-observed and lowest-observed adverse-effect levels (NOAEL, LOAEL) that are used in management consultations by U.S. federal agencies. In the absence of more location- or species-specific data to inform decisions, our results provide the best available information to protect vulnerable reef-building corals from sediment stress. Based on gaps and limitations identified by our review, we make recommendations to improve future studies and recommend future synthesis to disentangle the potentially synergistic effects of multiple coral-reef stressors.</x:v>
      </x:c>
      <x:c r="K151" s="11" t="str">
        <x:v>YES</x:v>
      </x:c>
      <x:c r="L151" s="7" t="str">
        <x:v>FROZEN_PUBLIC_FULL_TEXT_LOCATION</x:v>
      </x:c>
      <x:c r="M151" s="7" t="str">
        <x:v>https://environmentalevidencejournal.biomedcentral.com/counter/pdf/10.1186/s13750-022-00256-0</x:v>
      </x:c>
      <x:c r="N151" s="7" t="str">
        <x:v>VERIFIED_DOI_DOCUMENT</x:v>
      </x:c>
      <x:c r="O151" s="7" t="str">
        <x:v>B05_BROAD_SYNTHESIS_WITH_TARGET_EVIDENCE</x:v>
      </x:c>
      <x:c r="P151" s="11" t="str">
        <x:v>HIGH</x:v>
      </x:c>
      <x:c r="Q151" s="7" t="str">
        <x:v>Corals, spanning over 140 species, multiple life-history stages (larvae, juveniles, adults) across three oceans.</x:v>
      </x:c>
      <x:c r="R151" s="7" t="str">
        <x:v>Sediment exposure from coastal runoff and dredging, explicitly addressing deposited and suspended sediment with quantitative exposure levels (mg/cm2/day and mg/L).</x:v>
      </x:c>
      <x:c r="S151" s="7" t="str">
        <x:v>Synthesized adverse effect thresholds: reduced settlement, growth, bleaching, tissue mortality; NOAEL/LOAEL estimates for management consultations.</x:v>
      </x:c>
      <x:c r="T151" s="7" t="str">
        <x:v>A systematic review and meta-analysis specifically focused on sediment effects on corals, providing broad synthesis of exposure-response thresholds and management-relevant assessment evidence.</x:v>
      </x:c>
      <x:c r="U151" s="7" t="str">
        <x:v>This is a systematic review and meta-analysis directly addressing sediment exposure effects on corals, with quantitative thresholds for deposited and suspended sediment. It clearly qualifies under B05 as a broad synthesis that separately reports coral sediment-impact evidence. The decision is preferable to CHAIN_ONLY because it contains direct coral sediment-effects content, and to B01/B02 because it is not deep/cold-specific but a global coral reef synthesis. It is more than a primary tropical study (B04) because it synthesizes diverse experimental evidence into management-relevant thresholds. The abstract provides sufficient detail for high-confidence inclusion.</x:v>
      </x:c>
      <x:c r="V151" s="7" t="str">
        <x:v>ALL_VERIFIED_NON_TROPICAL_TIER_B_INCLUSIONS</x:v>
      </x:c>
      <x:c r="W151" s="7" t="str">
        <x:v>TBV1-1141</x:v>
      </x:c>
    </x:row>
    <x:row r="152" ht="42" customHeight="1">
      <x:c r="A152" s="17" t="str">
        <x:v>B</x:v>
      </x:c>
      <x:c r="B152" s="7" t="str">
        <x:v>CWC-F6E3C7FE7955</x:v>
      </x:c>
      <x:c r="C152" s="7" t="str">
        <x:v>Effects of sediments on the reproductive cycle of corals</x:v>
      </x:c>
      <x:c r="D152" s="7" t="str">
        <x:v>Ross Jones | Gerard F. Ricardo | Andrew P. Negri</x:v>
      </x:c>
      <x:c r="E152" s="11" t="str">
        <x:v>2015</x:v>
      </x:c>
      <x:c r="F152" s="7" t="str">
        <x:v>Marine Pollution Bulletin</x:v>
      </x:c>
      <x:c r="G152" s="7" t="str">
        <x:v>article</x:v>
      </x:c>
      <x:c r="H152" s="7" t="str">
        <x:v>10.1016/j.marpolbul.2015.08.021</x:v>
      </x:c>
      <x:c r="I152" s="7" t="str">
        <x:v>https://doi.org/10.1016/j.marpolbul.2015.08.021</x:v>
      </x:c>
      <x:c r="J152" s="7" t="str">
        <x:v>Dredging, river plumes and natural resuspension events can release sediments into the water column where they exert a range of effects on underlying communities. In this review we examine possible cause-effect pathways whereby light reduction, elevated suspended sediments and sediment deposition could affect the reproductive cycle and early life histories of corals. The majority of reported or likely effects (30+) were negative, including a suite of previously unrecognized effects on gametes. The length of each phase of the life-cycle was also examined together with analysis of water quality conditions that can occur during a dredging project over equivalent durations, providing a range of environmentally relevant exposure scenarios for future testing. The review emphasizes the need to: (a) accurately quantify exposure conditions, (b) identify the mechanism of any effects in future studies, and (c) recognize the close interlinking of proximate factors which could confound interpretation of studies. (C) 2015 The Authors. Published by Elsevier Ltd.</x:v>
      </x:c>
      <x:c r="K152" s="11" t="str">
        <x:v>YES</x:v>
      </x:c>
      <x:c r="L152" s="7" t="str">
        <x:v>FROZEN_PUBLIC_FULL_TEXT_LOCATION</x:v>
      </x:c>
      <x:c r="M152" s="7" t="str">
        <x:v>https://www.sciencedirect.com/science/article/pii/S0025326X15005251/pdf</x:v>
      </x:c>
      <x:c r="N152" s="7" t="str">
        <x:v>VERIFIED_DOI_DOCUMENT</x:v>
      </x:c>
      <x:c r="O152" s="7" t="str">
        <x:v>B05_BROAD_SYNTHESIS_WITH_TARGET_EVIDENCE</x:v>
      </x:c>
      <x:c r="P152" s="11" t="str">
        <x:v>HIGH</x:v>
      </x:c>
      <x:c r="Q152" s="7" t="str">
        <x:v>Corals, including reproductive cycles and early life histories</x:v>
      </x:c>
      <x:c r="R152" s="7" t="str">
        <x:v>Sediments from dredging, river plumes, and resuspension; light reduction, elevated suspended sediments, and sediment deposition</x:v>
      </x:c>
      <x:c r="S152" s="7" t="str">
        <x:v>Review of 30+ negative effects on reproduction and early life stages, including effects on gametes; environmental exposure scenarios and research needs identified</x:v>
      </x:c>
      <x:c r="T152" s="7" t="str">
        <x:v>Substantive peer-reviewed review synthesizing sediment effects on coral reproduction; provides extensive cause-effect pathways and exposure-response information, qualifying as a broad sediment-effects synthesis with directly reported coral evidence</x:v>
      </x:c>
      <x:c r="U152" s="7" t="str">
        <x:v>This article is a peer-reviewed review examining cause-effect pathways of sediment exposure (dredging, river plumes, resuspension) on the reproductive cycle and early life histories of corals. It synthesizes over 30 reported or likely negative effects, including previously unrecognized effects on gametes, and provides environmentally relevant exposure scenarios and research recommendations. The review is directly relevant to sediment impacts on corals and is a substantive document with clear coral sediment-effects content. The closest alternative is exclusion as a review without primary data, but Tier B explicitly includes substantive reviews and syntheses that inform effects, exposure, and recovery. B05 is selected because the review is a synthesis of sediment effects on corals; although it focuses on corals rather than other taxa, it qualifies as a broad sediment-effects synthesis with explicitly reported coral evidence.</x:v>
      </x:c>
      <x:c r="V152" s="7" t="str">
        <x:v>ALL_VERIFIED_NON_TROPICAL_TIER_B_INCLUSIONS</x:v>
      </x:c>
      <x:c r="W152" s="7" t="str">
        <x:v>TBV1-0184</x:v>
      </x:c>
    </x:row>
    <x:row r="153" ht="42" customHeight="1">
      <x:c r="A153" s="17" t="str">
        <x:v>B</x:v>
      </x:c>
      <x:c r="B153" s="7" t="str">
        <x:v>CWC-72FC59BB0830</x:v>
      </x:c>
      <x:c r="C153" s="7" t="str">
        <x:v>Effects of terrigenous sediment on settlement and survival of the reef coral Pocillopora damicornis</x:v>
      </x:c>
      <x:c r="D153" s="7" t="str">
        <x:v>Kaipo Perez | Kuʻulei S. Rodgers | Paul L. Jokiel | Claire Lager | Daniel J. Lager</x:v>
      </x:c>
      <x:c r="E153" s="11" t="str">
        <x:v>2014</x:v>
      </x:c>
      <x:c r="F153" s="7" t="str">
        <x:v>PeerJ</x:v>
      </x:c>
      <x:c r="G153" s="7" t="str">
        <x:v>article</x:v>
      </x:c>
      <x:c r="H153" s="7" t="str">
        <x:v>10.7717/peerj.387</x:v>
      </x:c>
      <x:c r="I153" s="7" t="str">
        <x:v>https://doi.org/10.7717/peerj.387</x:v>
      </x:c>
      <x:c r="J153" s="7" t="str">
        <x:v>Survival and settlement of Pocillopora damicornis larvae on hard surfaces covered with fine (&lt;63 mu m) terrigenous red clay was measured in laboratory Petri dishes. The dishes were prepared with sediment films of various thicknesses covering the bottoms. Coral larvae were incubated in the dishes for two weeks and the percent that settled on the bottom was determined. There was a statistically significant relationship between the amount of sediment and coral recruitment on the bottom, with no recruitment on surfaces having a sediment cover above 0.9 mg cm(-2). Experimental conditions for the delicate coral larvae were favorable in these experiments. Total survival over the two week settlement tests expressed as the sum of coral recruits and live larvae at the end of the experiment did not show a significant decline, so the major impact of the sediment was on successful settlement rather than on mortality. Larval substrate selection behavior was the primary factor in the observed result.</x:v>
      </x:c>
      <x:c r="K153" s="11" t="str">
        <x:v>YES</x:v>
      </x:c>
      <x:c r="L153" s="7" t="str">
        <x:v>FROZEN_PUBLIC_FULL_TEXT_LOCATION</x:v>
      </x:c>
      <x:c r="M153" s="7" t="str">
        <x:v>https://peerj.com/articles/387.pdf</x:v>
      </x:c>
      <x:c r="N153" s="7" t="str">
        <x:v>VERIFIED_DOI_DOCUMENT</x:v>
      </x:c>
      <x:c r="O153" s="7" t="str">
        <x:v>B04_TROPICAL_PHYSICAL_SEDIMENT_ANALOGUE</x:v>
      </x:c>
      <x:c r="P153" s="11" t="str">
        <x:v>HIGH</x:v>
      </x:c>
      <x:c r="Q153" s="7" t="str">
        <x:v>Tropical reef coral Pocillopora damicornis larvae</x:v>
      </x:c>
      <x:c r="R153" s="7" t="str">
        <x:v>Fine (&lt;63 µm) terrigenous red clay sediment films of varying thickness</x:v>
      </x:c>
      <x:c r="S153" s="7" t="str">
        <x:v>Settlement, recruitment, survival, larval substrate selection; significant reduction in settlement with no recruitment above 0.9 mg cm⁻² sediment</x:v>
      </x:c>
      <x:c r="T153" s="7" t="str">
        <x:v>Direct experimental test of physical sediment exposure on a tropical coral, reporting clear biological responses (settlement, survival). Meets B04 broader than Tier A standard.</x:v>
      </x:c>
      <x:c r="U153" s="7" t="str">
        <x:v>Tropical coral Pocillopora damicornis larvae were experimentally exposed to fine terrigenous sediment films, directly testing physical sediment exposure and measuring settlement and survival. The study found a significant reduction in settlement and no recruitment above a sediment threshold, while survival was unaffected, reflecting larval substrate selection behavior. This is a clear tropical physical sediment analogue (B04) providing direct exposure-response evidence for sediment effects on corals. It is not merely mentioning sediment; the exposure and biological response are central. It is preferable to B03 because the organism is tropical, not non-tropical, and it satisfies the broader B04 inclusion criteria.</x:v>
      </x:c>
      <x:c r="V153" s="7" t="str">
        <x:v>SPARING_TOP_25_TROPICAL_DIRECT_PHYSICAL_ANALOGUES</x:v>
      </x:c>
      <x:c r="W153" s="7" t="str">
        <x:v>TBV1-1027</x:v>
      </x:c>
    </x:row>
    <x:row r="154" ht="42" customHeight="1">
      <x:c r="A154" s="17" t="str">
        <x:v>B</x:v>
      </x:c>
      <x:c r="B154" s="7" t="str">
        <x:v>CWC-1C68BB5D48A7</x:v>
      </x:c>
      <x:c r="C154" s="7" t="str">
        <x:v>Effects of two sediment types on the fluorescence yield of two Hawaiian scleractinian corals</x:v>
      </x:c>
      <x:c r="D154" s="7" t="str">
        <x:v>Gregory A. Piniak</x:v>
      </x:c>
      <x:c r="E154" s="11" t="str">
        <x:v>2007</x:v>
      </x:c>
      <x:c r="F154" s="7" t="str">
        <x:v>Marine Environmental Research</x:v>
      </x:c>
      <x:c r="G154" s="7" t="str">
        <x:v>article</x:v>
      </x:c>
      <x:c r="H154" s="7" t="str">
        <x:v>10.1016/j.marenvres.2007.04.001</x:v>
      </x:c>
      <x:c r="I154" s="7" t="str">
        <x:v>https://doi.org/10.1016/j.marenvres.2007.04.001</x:v>
      </x:c>
      <x:c r="J154" s="7" t="str">
        <x:v>This study used non-invasive pulse-amplitude modulated (PAM) fluorometry to measure the maximum fluorescence yield (F-v/F-m) of two Hawaiian scleractinian coral species exposed to short-term sedimentation stress. Beach sand or harbor mud was applied to coral fragments in a flow-through aquarium system for 0-45 h, and changes in F,,IF,,, were measured as a function of sediment type and length of exposure. Corals were monitored for up to 90 h to document recovery after sediment removal. Sediment deposition significantly decreased F-v/F-m in both species and was a function of sediment type and time. Corals that received sediment for 30 It or more had the greatest reduction in yield and exhibited little recovery over the course of the experiment. Harbor mud caused a greater reduction in Porites lobata yield than beach sand, whereas both sediment types had equally deleterious effects on Montipora capitata. Colony morphology and sediment type were important factors in determining yield reduction-P. lobata minimized damage from coarse sand grains by passive sediment rejection or accumulation in depressions in the skeleton, and fluorescence yield decreased most in corals exposed to sticky harbor mud or in colonies with flattened morphologies. Species-specific differences could not be tested due to differences in colony morphology and surface area. (c) 2007 Published by Elsevier Ltd.</x:v>
      </x:c>
      <x:c r="K154" s="11" t="str">
        <x:v>YES</x:v>
      </x:c>
      <x:c r="L154" s="7" t="str">
        <x:v>FROZEN_PUBLIC_FULL_TEXT_LOCATION</x:v>
      </x:c>
      <x:c r="M154" s="7" t="str">
        <x:v>https://hal.archives-ouvertes.fr/hal-00562977/file/PEER_stage2_10.1016%252Fj.marenvres.2007.04.001.pdf</x:v>
      </x:c>
      <x:c r="N154" s="7" t="str">
        <x:v>VERIFIED_DOI_DOCUMENT</x:v>
      </x:c>
      <x:c r="O154" s="7" t="str">
        <x:v>B04_TROPICAL_PHYSICAL_SEDIMENT_ANALOGUE</x:v>
      </x:c>
      <x:c r="P154" s="11" t="str">
        <x:v>HIGH</x:v>
      </x:c>
      <x:c r="Q154" s="7" t="str">
        <x:v>Two Hawaiian scleractinian corals: Porites lobata and Montipora capitata.</x:v>
      </x:c>
      <x:c r="R154" s="7" t="str">
        <x:v>Experimental exposure to sediment deposition using beach sand and harbor mud, applied for up to 45 hours in a flow-through system, with monitoring during and after exposure.</x:v>
      </x:c>
      <x:c r="S154" s="7" t="str">
        <x:v>Maximum fluorescence yield (Fv/Fm) measured via PAM fluorometry; significant decreases in yield with sediment type and time, limited recovery for longer exposures, and differential effects by species and colony morphology.</x:v>
      </x:c>
      <x:c r="T154" s="7" t="str">
        <x:v>Directly tests physical sediment exposure on tropical coral health, meeting B04 as it measures a relevant biological response (physiological condition) to suspended/deposited sediment.</x:v>
      </x:c>
      <x:c r="U154" s="7" t="str">
        <x:v>This is a tropical coral experimental study directly examining effects of sediment deposition on coral fluorescence yield, a physiological stress response. The sediment pathway is explicit (beach sand and harbor mud applied to coral fragments), and the response is measured quantitatively with a recovery phase. This clearly qualifies as B04_TROPICAL_PHYSICAL_SEDIMENT_ANALOGUE. The closest alternative would be B01, but B01 is for deep/cold-water corals, whereas this is a tropical Hawaiian study. CHAIN_ONLY is inappropriate because the direct target content is present and substantive.</x:v>
      </x:c>
      <x:c r="V154" s="7" t="str">
        <x:v>SPARING_TOP_25_TROPICAL_DIRECT_PHYSICAL_ANALOGUES</x:v>
      </x:c>
      <x:c r="W154" s="7" t="str">
        <x:v>TBV1-1145</x:v>
      </x:c>
    </x:row>
    <x:row r="155" ht="42" customHeight="1">
      <x:c r="A155" s="17" t="str">
        <x:v>B</x:v>
      </x:c>
      <x:c r="B155" s="7" t="str">
        <x:v>GLV4-C20C12B21614</x:v>
      </x:c>
      <x:c r="C155" s="7" t="str">
        <x:v>EL 1167 EL 1167 (Gale N-66) Conditi</x:v>
      </x:c>
      <x:c r="D155" s="7" t="str"/>
      <x:c r="E155" s="11" t="str"/>
      <x:c r="F155" s="7" t="str">
        <x:v>exploration.exxonmobilcanada.ca</x:v>
      </x:c>
      <x:c r="G155" s="7" t="str">
        <x:v>report</x:v>
      </x:c>
      <x:c r="H155" s="7" t="str"/>
      <x:c r="I155" s="7" t="str">
        <x:v>https://exploration.exxonmobilcanada.ca/s/EL-1167-Gale-N-66-Executive-Summary-EN.pdf</x:v>
      </x:c>
      <x:c r="J155" s="7" t="str">
        <x:v>provided monthly e-mail operational updates to fishers and Indigenous groups. Documents, plans, and monitoring reports were posted to the EMCL Exploration website as available including communications plans, wellhead abandonment plan, well control strategies, implementation schedule, and oil response plan. 3 FISH AND FISH HABITAT PROTECTION AND MONITORING To aid the protection of fish and fish habitats in and around the exploration drilling area, EMCL implemented mitigation measures including; • Pre-drilling coral and sponge surveys • Synthetic-based fluid on cuttings • Drill cuttings monitori</x:v>
      </x:c>
      <x:c r="K155" s="11" t="str">
        <x:v>YES</x:v>
      </x:c>
      <x:c r="L155" s="7" t="str">
        <x:v>PUBLIC_FULL_DOCUMENT_LOCATION</x:v>
      </x:c>
      <x:c r="M155" s="7" t="str">
        <x:v>https://exploration.exxonmobilcanada.ca/s/EL-1167-Gale-N-66-Executive-Summary-EN.pdf</x:v>
      </x:c>
      <x:c r="N155" s="7" t="str">
        <x:v>VERIFIED_DIRECT_DOCUMENT_URL</x:v>
      </x:c>
      <x:c r="O155" s="7" t="str">
        <x:v>B02_DEEP_COLD_REVIEW_ASSESSMENT</x:v>
      </x:c>
      <x:c r="P155" s="11" t="str">
        <x:v>MEDIUM</x:v>
      </x:c>
      <x:c r="Q155" s="7" t="str">
        <x:v>Corals and sponges are explicitly mentioned through pre-drilling coral and sponge surveys.</x:v>
      </x:c>
      <x:c r="R155" s="7" t="str">
        <x:v>Drill cuttings and synthetic-based fluid on cuttings are identified as exposure pathways.</x:v>
      </x:c>
      <x:c r="S155" s="7" t="str">
        <x:v>The report describes monitoring of drill cuttings, mitigation measures, and operational updates to protect fish and fish habitat, indicating an assessment/monitoring context.</x:v>
      </x:c>
      <x:c r="T155" s="7" t="str">
        <x:v>B02_DEEP_COLD_REVIEW_ASSESSMENT: a substantive monitoring/assessment report with direct sediment-impact focus (drill cuttings) and clear potential to inform effects, exposure, monitoring, or mitigation for cold-water corals and sponges.</x:v>
      </x:c>
      <x:c r="U155" s="7" t="str">
        <x:v>This is an operator's executive summary for offshore drilling at EL 1167 (Gale N-66), off Newfoundland. The abstract explicitly mentions pre-drilling coral and sponge surveys and drill cuttings monitoring as mitigation measures, establishing a cold-water coral/sponge context and a sediment (drill cuttings) pathway. The document is a monitoring/assessment report, fitting B02_DEEP_COLD_REVIEW_ASSESSMENT. It is a substantive report, not a discovery webpage. It is preferable over B01 because it is an assessment/monitoring document rather than a primary biological response study. X01 (organism out of scope) and X02 (sediment pathway absent) do not apply because both coral/sponge and sediment pathway are explicit. Confidence is medium due to the brief abstract, but the relevant elements are clearly present.</x:v>
      </x:c>
      <x:c r="V155" s="7" t="str">
        <x:v>ALL_VERIFIED_NON_TROPICAL_TIER_B_INCLUSIONS</x:v>
      </x:c>
      <x:c r="W155" s="7" t="str">
        <x:v>TBV1-0631</x:v>
      </x:c>
    </x:row>
    <x:row r="156" ht="42" customHeight="1">
      <x:c r="A156" s="17" t="str">
        <x:v>B</x:v>
      </x:c>
      <x:c r="B156" s="7" t="str">
        <x:v>CWC-161965306EF0</x:v>
      </x:c>
      <x:c r="C156" s="7" t="str">
        <x:v>EL 1169 EXPLORATION DRILLING: PERSEPHONE C-54</x:v>
      </x:c>
      <x:c r="D156" s="7" t="str"/>
      <x:c r="E156" s="11" t="str"/>
      <x:c r="F156" s="7" t="str">
        <x:v>ExxonMobil Canada</x:v>
      </x:c>
      <x:c r="G156" s="7" t="str">
        <x:v>monitoring_report</x:v>
      </x:c>
      <x:c r="H156" s="7" t="str"/>
      <x:c r="I156" s="7" t="str">
        <x:v>https://exploration.exxonmobilcanada.ca/s/Persephone-Follow-up-Monitoring-FFH_v3.pdf</x:v>
      </x:c>
      <x:c r="J156" s="7" t="str">
        <x:v>WSP Page 26 3.4 CORALS AND SPONGES 3.4.1 CORAL FUNCTIONAL GROUPS Four coral functional groups were observed in the post-drilling survey at Persephone: other corals, sea pens, and small and large gorgonians (Figure 3-7). These same groups were recorded during the pre-drilling survey at Persephone. Other corals were all soft corals, likely Heteropolypus sp. (Figure 3-7A). [...] No aggregations of habitat-forming corals or sponges were identified during the survey and no environmentally sensitive habitats were identified. Four coral functional groups were noted: other corals, small and large gorg</x:v>
      </x:c>
      <x:c r="K156" s="11" t="str">
        <x:v>YES</x:v>
      </x:c>
      <x:c r="L156" s="7" t="str">
        <x:v>FROZEN_PUBLIC_FULL_TEXT_LOCATION</x:v>
      </x:c>
      <x:c r="M156" s="7" t="str">
        <x:v>https://exploration.exxonmobilcanada.ca/s/Persephone-Follow-up-Monitoring-FFH_v3.pdf</x:v>
      </x:c>
      <x:c r="N156" s="7" t="str">
        <x:v>VERIFIED_DIRECT_DOCUMENT_URL</x:v>
      </x:c>
      <x:c r="O156" s="7" t="str">
        <x:v>B01_DEEP_COLD_SEDIMENT_EVIDENCE</x:v>
      </x:c>
      <x:c r="P156" s="11" t="str">
        <x:v>HIGH</x:v>
      </x:c>
      <x:c r="Q156" s="7" t="str">
        <x:v>Corals (soft corals, likely Heteropolypus sp., sea pens, small and large gorgonians) and sponges are the target organisms; the survey recorded coral functional groups and noted no aggregations of habitat-forming corals or sponges.</x:v>
      </x:c>
      <x:c r="R156" s="7" t="str">
        <x:v>Exploration drilling; the post-drilling survey compared with a pre-drilling survey implies exposure to drilling-related sediment and drill cuttings, a listed sediment pathway.</x:v>
      </x:c>
      <x:c r="S156" s="7" t="str">
        <x:v>Monitoring of coral and sponge functional groups before and after drilling; absence of sensitive habitats and aggregations provides condition/impact evidence relevant to drilling effects.</x:v>
      </x:c>
      <x:c r="T156" s="7" t="str">
        <x:v>A deep-sea monitoring report explicitly linked to exploration drilling, providing condition/impact evidence for corals and sponges under a sediment-related stressor.</x:v>
      </x:c>
      <x:c r="U156" s="7" t="str">
        <x:v>The document is a substantive monitoring report for exploration drilling at a deep-sea site (Persephone C-54). It reports coral functional groups (soft corals, sea pens, gorgonians) and sponges before and after drilling, providing biological condition and monitoring evidence. Drilling is an explicit sediment pathway (drill cuttings/mud), meeting B01 for deep/cold coral/sponge evidence. This is preferable to CHAIN_ONLY because the supplied material directly reports coral/sponge monitoring in the context of drilling. It is also more specific than B02 because it is primary monitoring evidence rather than a review/assessment.</x:v>
      </x:c>
      <x:c r="V156" s="7" t="str">
        <x:v>ALL_VERIFIED_NON_TROPICAL_TIER_B_INCLUSIONS</x:v>
      </x:c>
      <x:c r="W156" s="7" t="str">
        <x:v>TBV1-0160</x:v>
      </x:c>
    </x:row>
    <x:row r="157" ht="42" customHeight="1">
      <x:c r="A157" s="17" t="str">
        <x:v>B</x:v>
      </x:c>
      <x:c r="B157" s="7" t="str">
        <x:v>GLV4-36F2B47A79ED</x:v>
      </x:c>
      <x:c r="C157" s="7" t="str">
        <x:v>EL1165A Benthic Habitat Monitoring Report_Draft</x:v>
      </x:c>
      <x:c r="D157" s="7" t="str"/>
      <x:c r="E157" s="11" t="str"/>
      <x:c r="F157" s="7" t="str">
        <x:v>exploration.exxonmobilcanada.ca</x:v>
      </x:c>
      <x:c r="G157" s="7" t="str">
        <x:v>monitoring_report</x:v>
      </x:c>
      <x:c r="H157" s="7" t="str"/>
      <x:c r="I157" s="7" t="str">
        <x:v>https://exploration.exxonmobilcanada.ca/s/EL1165A-Benthic-Habitat-Monitoring-Report.pdf</x:v>
      </x:c>
      <x:c r="J157" s="7" t="str">
        <x:v>sponge surveys to be sensitive benthic habitat, and for any well located within a special area designated as such due to the presence of sensitive coral and sponge species, or a location near a special area where drill cuttings dispersion modelling predicts that drill cuttings deposition may have adverse effects, develop and implement, in consultation with Fisheries and Oceans Canada and the C-NLOPB, follow-up requirements to verify the accuracy of the environmental assessment and effectiveness of mitigation measures as they pertain to the effects of cuttings discharges on benthic habitat. Fol</x:v>
      </x:c>
      <x:c r="K157" s="11" t="str">
        <x:v>YES</x:v>
      </x:c>
      <x:c r="L157" s="7" t="str">
        <x:v>PUBLIC_FULL_DOCUMENT_LOCATION</x:v>
      </x:c>
      <x:c r="M157" s="7" t="str">
        <x:v>https://exploration.exxonmobilcanada.ca/s/EL1165A-Benthic-Habitat-Monitoring-Report.pdf</x:v>
      </x:c>
      <x:c r="N157" s="7" t="str">
        <x:v>VERIFIED_DIRECT_DOCUMENT_URL</x:v>
      </x:c>
      <x:c r="O157" s="7" t="str">
        <x:v>B02_DEEP_COLD_REVIEW_ASSESSMENT</x:v>
      </x:c>
      <x:c r="P157" s="11" t="str">
        <x:v>MEDIUM</x:v>
      </x:c>
      <x:c r="Q157" s="7" t="str">
        <x:v>Explicitly references sensitive coral and sponge species as benthic habitat, with sponge surveys noted.</x:v>
      </x:c>
      <x:c r="R157" s="7" t="str">
        <x:v>Drill cuttings dispersion modelling and deposition; potential adverse effects from cuttings discharges.</x:v>
      </x:c>
      <x:c r="S157" s="7" t="str">
        <x:v>Monitoring report to verify accuracy of environmental assessment and effectiveness of mitigation measures for effects of cuttings on benthic habitat.</x:v>
      </x:c>
      <x:c r="T157" s="7" t="str">
        <x:v>Substantive industry monitoring report with direct sediment-impact focus on cold-water corals and sponges, fitting B02 as a review/assessment/monitoring document.</x:v>
      </x:c>
      <x:c r="U157" s="7" t="str">
        <x:v>This is a monitoring report (draft) explicitly about benthic habitat in an offshore exploration area, with focus on sensitive corals and sponges and the effects of drill cuttings deposition. The snippet mentions sponge surveys, coral and sponge species, drill cuttings dispersion modelling, and follow-up monitoring to verify environmental assessment accuracy and mitigation effectiveness. This meets B02 as a substantive assessment/monitoring document with direct sediment-impact relevance to deep/cold-water corals and sponges. It is not merely a discovery webpage or project page; it is a report PDF. Exclusions do not apply because the sediment pathway (drill cuttings) and organism (corals/sponges) are explicit. Compared to B01, this is more of a monitoring/assessment report than primary sediment evidence, but B02 is appropriate. Confidence is MEDIUM due to limited snippet, but the decision is clear.</x:v>
      </x:c>
      <x:c r="V157" s="7" t="str">
        <x:v>ALL_VERIFIED_NON_TROPICAL_TIER_B_INCLUSIONS</x:v>
      </x:c>
      <x:c r="W157" s="7" t="str">
        <x:v>TBV1-0632</x:v>
      </x:c>
    </x:row>
    <x:row r="158" ht="42" customHeight="1">
      <x:c r="A158" s="17" t="str">
        <x:v>B</x:v>
      </x:c>
      <x:c r="B158" s="7" t="str">
        <x:v>GLV4-3096A08D83A3</x:v>
      </x:c>
      <x:c r="C158" s="7" t="str">
        <x:v>EL1165B Benthic Habitat Monitoring Report_Draft</x:v>
      </x:c>
      <x:c r="D158" s="7" t="str"/>
      <x:c r="E158" s="11" t="str"/>
      <x:c r="F158" s="7" t="str">
        <x:v>exploration.exxonmobilcanada.ca</x:v>
      </x:c>
      <x:c r="G158" s="7" t="str">
        <x:v>monitoring_report</x:v>
      </x:c>
      <x:c r="H158" s="7" t="str"/>
      <x:c r="I158" s="7" t="str">
        <x:v>https://exploration.exxonmobilcanada.ca/s/EL1165B-Benthic-Habitat-Monitoring-Report.pdf</x:v>
      </x:c>
      <x:c r="J158" s="7" t="str">
        <x:v>and report the results to the Board; 3.12.21, 2 for the first well in each exploration licence, and for any well where drilling is undertaken in an area determined by coral and sponge surveys to be sensitive benthic habitat, and for any well located within a special area designated as such due to the presence of sensitive coral and sponge species, or a location near a special area where drill cuttings dispersion modelling predicts that drill cuttings deposition may have adverse effects, develop and implement, in consultation with Fisheries and Oceans Canada and the Board, follow-up requirement</x:v>
      </x:c>
      <x:c r="K158" s="11" t="str">
        <x:v>YES</x:v>
      </x:c>
      <x:c r="L158" s="7" t="str">
        <x:v>PUBLIC_FULL_DOCUMENT_LOCATION</x:v>
      </x:c>
      <x:c r="M158" s="7" t="str">
        <x:v>https://exploration.exxonmobilcanada.ca/s/EL1165B-Benthic-Habitat-Monitoring-Report.pdf</x:v>
      </x:c>
      <x:c r="N158" s="7" t="str">
        <x:v>VERIFIED_DIRECT_DOCUMENT_URL</x:v>
      </x:c>
      <x:c r="O158" s="7" t="str">
        <x:v>B02_DEEP_COLD_REVIEW_ASSESSMENT</x:v>
      </x:c>
      <x:c r="P158" s="11" t="str">
        <x:v>HIGH</x:v>
      </x:c>
      <x:c r="Q158" s="7" t="str">
        <x:v>Corals and sponges are explicitly mentioned as targets of sensitive benthic habitat surveys and monitoring.</x:v>
      </x:c>
      <x:c r="R158" s="7" t="str">
        <x:v>Drill cuttings dispersion modelling and drill cuttings deposition are identified as potential adverse stressors.</x:v>
      </x:c>
      <x:c r="S158" s="7" t="str">
        <x:v>The report is a benthic habitat monitoring report, including follow-up requirements to assess adverse effects on sensitive coral and sponge habitat.</x:v>
      </x:c>
      <x:c r="T158" s="7" t="str">
        <x:v>This is a substantive monitoring report from an offshore exploration context that directly addresses sediment-related impacts (drill cuttings) on corals and sponges, meeting B02 as a review/assessment/monitoring document with a clear sediment-impact focus.</x:v>
      </x:c>
      <x:c r="U158" s="7" t="str">
        <x:v>The record is a benthic habitat monitoring report associated with exploration drilling, explicitly referencing coral and sponge surveys, sensitive benthic habitat, and drill cuttings dispersion/deposition effects. This qualifies as a substantive assessment/monitoring document under B02, with clear potential to inform sediment effects, exposure, monitoring, and mitigation for corals and sponges. It is not merely a discovery page or news item. B02 is preferable to B01 because the snippet emphasizes the monitoring/regulatory assessment framework rather than direct biological response data. Confidence is high despite limited abstract because the title, source, and snippet clearly indicate a relevant monitoring report.</x:v>
      </x:c>
      <x:c r="V158" s="7" t="str">
        <x:v>ALL_VERIFIED_NON_TROPICAL_TIER_B_INCLUSIONS</x:v>
      </x:c>
      <x:c r="W158" s="7" t="str">
        <x:v>TBV1-0738</x:v>
      </x:c>
    </x:row>
    <x:row r="159" ht="42" customHeight="1">
      <x:c r="A159" s="17" t="str">
        <x:v>B</x:v>
      </x:c>
      <x:c r="B159" s="7" t="str">
        <x:v>CWC-91929E072301</x:v>
      </x:c>
      <x:c r="C159" s="7" t="str">
        <x:v>Environmental changes and growth history of a cold-water carbonate mound (Propeller Mound, Porcupine Seabight)</x:v>
      </x:c>
      <x:c r="D159" s="7" t="str">
        <x:v>Andres Rüggeberg | Christian Dullo | Boris Dorschel | Dierk Hebbeln</x:v>
      </x:c>
      <x:c r="E159" s="11" t="str">
        <x:v>2005</x:v>
      </x:c>
      <x:c r="F159" s="7" t="str">
        <x:v>International Journal of Earth Sciences</x:v>
      </x:c>
      <x:c r="G159" s="7" t="str">
        <x:v>article</x:v>
      </x:c>
      <x:c r="H159" s="7" t="str">
        <x:v>10.1007/s00531-005-0504-1</x:v>
      </x:c>
      <x:c r="I159" s="7" t="str">
        <x:v>https://doi.org/10.1007/s00531-005-0504-1</x:v>
      </x:c>
      <x:c r="J159" s="7" t="str">
        <x:v>On- and off-mound sediment cores from Propeller Mound ( Hovland Mound province, Porcupine Seabight) were analysed to understand better the evolution of a carbonate mound. The evaluation of benthic foraminiferal assemblages from the off-mound position helps to determine the changes of the environmental controls on Propeller Mound in glacial and interglacial times. Two different assemblages describe the Holocene and Marine Isotope Stage (MIS) 2 and late MIS 3 ( similar to 31 kyr BP). The different assemblages are related to changes in oceanographic conditions, surface productivity and the waxing and waning of the British Irish Ice Sheet (BIIS) during the last glacial stages. The interglacial assemblage is related to a higher supply of organic material and stronger current intensities in water depth of recent coral growth. During the last glaciation the benthic faunas showed high abundances of cassidulinid species, implying cold bottom waters and a reduced availability of organic matter. High sedimentation rates and the domination of Elphidium excavatum point to shelf erosion related to sea-level lowering ( similar to 50 m) and the progradation of the BIIS onto the shelf. A different assemblage described for the on-mound core is dominated by Discanomalina coronata, Gavelinopsis translucens, Planulina ariminensis, Cibicides lobatulus and to a lower degree by Hyrrokkin sarcophaga. These species are only found or show significantly higher relative abundances in on-mound samples and their maximum contribution in the lower part of the record indicates a higher coral growth density on Propeller Mound in an earlier period. They are less abundant during the Holocene, however. This dataset portrays the boundary conditions of the habitable range for the cold-water coral Lophelia pertusa, which dominates the deep-water reefal ecosystem on the upper flanks of Propeller Mound. The growth of this ecosystem occurs during interglacial and interstadial periods, whereas a retreat of corals is documented in the absence of glacial sediments on-mound. Glacial conditions with cold intermediate waters, a weak current regime and high sedimentation rates provide an unfavourable environmental setting for Lophelia corals to grow. A Late Pleistocene decrease is observed in the mound growth for Propeller Mound, which might face its complete burial in the future, as it already happened to the buried mounds of the Magellan Mound province further north.</x:v>
      </x:c>
      <x:c r="K159" s="11" t="str">
        <x:v>NO</x:v>
      </x:c>
      <x:c r="L159" s="7" t="str">
        <x:v>NOT_CONFIRMED</x:v>
      </x:c>
      <x:c r="M159" s="7" t="str"/>
      <x:c r="N159" s="7" t="str">
        <x:v>VERIFIED_DOI_DOCUMENT</x:v>
      </x:c>
      <x:c r="O159" s="7" t="str">
        <x:v>B01_DEEP_COLD_SEDIMENT_EVIDENCE</x:v>
      </x:c>
      <x:c r="P159" s="11" t="str">
        <x:v>HIGH</x:v>
      </x:c>
      <x:c r="Q159" s="7" t="str">
        <x:v>Cold-water coral Lophelia pertusa; on-mound foraminiferal assemblages (Discanomalina coronata, Gavelinopsis translucens, etc.) indicate coral growth density.</x:v>
      </x:c>
      <x:c r="R159" s="7" t="str">
        <x:v>High sedimentation rates during glacial periods; weak current regime; cold intermediate waters; potential sedimentary burial of the mound.</x:v>
      </x:c>
      <x:c r="S159" s="7" t="str">
        <x:v>Coral growth occurs during interglacial/interstadial periods; retreat during glacial periods with high sedimentation; documented decrease in mound growth and potential future burial; habitability range of Lophelia pertusa assessed.</x:v>
      </x:c>
      <x:c r="T159" s="7" t="str">
        <x:v>B01_DEEP_COLD_SEDIMENT_EVIDENCE: Deep-sea cold-water coral study with explicit sedimentary process (sedimentation rates, burial) linked to biological/ecological response (coral growth, retreat).</x:v>
      </x:c>
      <x:c r="U159" s="7" t="str">
        <x:v>This article directly investigates cold-water coral (Lophelia pertusa) growth history on Propeller Mound and links environmental controls, including sedimentation rates and burial, to coral growth phases. It documents that high sedimentation rates during glacial periods created unfavourable conditions and led to coral retreat, while interglacial periods supported growth. This is explicit sediment-impact evidence for a deep-sea coral, meeting B01. The closest alternative would be B02 if it were a review or assessment, but it is an original research article with direct sediment–coral response evidence. The abstract provides sufficient detail for a high-confidence decision without needing full text.</x:v>
      </x:c>
      <x:c r="V159" s="7" t="str">
        <x:v>ALL_VERIFIED_CENTRAL_PEER_REVIEWED</x:v>
      </x:c>
      <x:c r="W159" s="7" t="str">
        <x:v>TBV1-0038</x:v>
      </x:c>
    </x:row>
    <x:row r="160" ht="42" customHeight="1">
      <x:c r="A160" s="17" t="str">
        <x:v>B</x:v>
      </x:c>
      <x:c r="B160" s="7" t="str">
        <x:v>CWC-13E01BD1A7E6</x:v>
      </x:c>
      <x:c r="C160" s="7" t="str">
        <x:v>Environmental Impacts of the Deep-Water Oil and Gas Industry: A Review to Guide Management Strategies</x:v>
      </x:c>
      <x:c r="D160" s="7" t="str">
        <x:v>Erik E. Cordes | Daniel O. B. Jones | Thomas A. Schlacher | Diva J. Amon | Ângelo F. Bernardino | Sandra Brooke | Robert S. Carney | Danielle M. DeLeo | Katherine Dunlop | Elva Escobar‐Briones | Andrew R. Gates | Luciana Génio | Judith Gobin | Lea‐Anne Henry | Santiago Herrera | Sarah Hoyt | Mandy Joye | Salit Kark | Nélia C. Mestre | Anna Meta×as | Simone Pfeifer | Kerry Sink | Andrew K. Sweetman | Ursula Witte</x:v>
      </x:c>
      <x:c r="E160" s="11" t="str">
        <x:v>2016</x:v>
      </x:c>
      <x:c r="F160" s="7" t="str">
        <x:v>Frontiers in Environmental Science</x:v>
      </x:c>
      <x:c r="G160" s="7" t="str">
        <x:v>article</x:v>
      </x:c>
      <x:c r="H160" s="7" t="str">
        <x:v>10.3389/fenvs.2016.00058</x:v>
      </x:c>
      <x:c r="I160" s="7" t="str">
        <x:v>https://doi.org/10.3389/fenvs.2016.00058</x:v>
      </x:c>
      <x:c r="J160" s="7" t="str">
        <x:v>The industrialization of the deep sea is expanding worldwide. Increasing oil and gas exploration activities in the absence of sufficient baseline data in deep-sea ecosystems has made environmental management challenging. Here, we review the types of activities that are associated with global offshore oil and gas development in water depths over 200 m, the typical impacts of these activities, some of the more extreme impacts of accidental oil and gas releases, and the current state of management in the major regions of offshore industrial activity including 18 exclusive economic zones. Direct impacts of infrastructure installation, including sediment resuspension and burial by seafloor anchors and pipelines, are typically restricted to a radius of similar to 100 m on from the installation on the seafloor. Discharges of water-based and low-toxicity oil-based drilling muds and produced water can extend over 2 km, while the ecological impacts at the population and community levels on the seafloor are most commonly on the order of 200-300 m from their source. These impacts may persist in the deep sea for many years and likely longer for its more fragile ecosystems, such as cold-water corals. This synthesis of information provides the basis for a series of recommendations for the management of offshore oil and gas development. An effective management strategy, aimed at minimizing risk of significant environmental harm, will typically encompass regulations of the activity itself (e.g., discharge practices, materials used), combined with spatial (e.g., avoidance rules and marine protected areas), and temporal measures (e.g., restricted activities during peak reproductive periods). Spatial management measures that encompass representatives of all of the regional deep-sea community types is important in this context. Implementation of these management strategies should consider minimum buffer zones to displace industrial activity beyond the range of typical impacts: at least 2 km from any discharge points and surface infrastructure and 200 m from seafloor infrastructure with no expected discharges. Although managing natural resources is, arguably, more challenging in deep-water environments, inclusion of these proven conservation tools contributes to robust environmental management strategies for oil and gas extraction in the deep sea.</x:v>
      </x:c>
      <x:c r="K160" s="11" t="str">
        <x:v>YES</x:v>
      </x:c>
      <x:c r="L160" s="7" t="str">
        <x:v>FROZEN_PUBLIC_FULL_TEXT_LOCATION</x:v>
      </x:c>
      <x:c r="M160" s="7" t="str">
        <x:v>https://www.frontiersin.org/articles/10.3389/fenvs.2016.00058/pdf</x:v>
      </x:c>
      <x:c r="N160" s="7" t="str">
        <x:v>VERIFIED_DOI_DOCUMENT</x:v>
      </x:c>
      <x:c r="O160" s="7" t="str">
        <x:v>B02_DEEP_COLD_REVIEW_ASSESSMENT</x:v>
      </x:c>
      <x:c r="P160" s="11" t="str">
        <x:v>HIGH</x:v>
      </x:c>
      <x:c r="Q160" s="7" t="str">
        <x:v>Deep-sea ecosystems, with explicit mention of cold-water corals as fragile ecosystems potentially impacted by oil and gas activities.</x:v>
      </x:c>
      <x:c r="R160" s="7" t="str">
        <x:v>Sediment resuspension and burial by seafloor anchors and pipelines; discharges of water-based and low-toxicity oil-based drilling muds; produced water extending over 2 km.</x:v>
      </x:c>
      <x:c r="S160" s="7" t="str">
        <x:v>Population and community-level ecological impacts typically 200-300 m from source, with persistence for many years and longer for cold-water corals; management strategy recommendations.</x:v>
      </x:c>
      <x:c r="T160" s="7" t="str">
        <x:v>Substantive review article focused on deep-water oil and gas environmental impacts, directly addressing sediment-related pathways and their effects on deep-sea biota including cold-water corals, with management implications.</x:v>
      </x:c>
      <x:c r="U160" s="7" t="str">
        <x:v>This is a peer-reviewed review of environmental impacts from deep-water oil and gas, explicitly covering sediment resuspension, burial, and drilling-mud discharges. It identifies cold-water corals as fragile and discusses ecological impacts and management buffers. This qualifies under B02 because it is a substantive deep/cold review with a direct sediment-impact focus and provides assessment value for sediment-related effects and mitigation. It is preferable to B05 as the sediment-coral focus is clear within the review. Exclusions do not apply because it includes target organisms and stressors.</x:v>
      </x:c>
      <x:c r="V160" s="7" t="str">
        <x:v>ALL_VERIFIED_CENTRAL_PEER_REVIEWED</x:v>
      </x:c>
      <x:c r="W160" s="7" t="str">
        <x:v>TBV1-0054</x:v>
      </x:c>
    </x:row>
    <x:row r="161" ht="42" customHeight="1">
      <x:c r="A161" s="17" t="str">
        <x:v>B</x:v>
      </x:c>
      <x:c r="B161" s="7" t="str">
        <x:v>CWC-A577FACD55AD</x:v>
      </x:c>
      <x:c r="C161" s="7" t="str">
        <x:v>Environmental Management and Visual Mapping as Alternative Monitoring in Heterogeneous Areas</x:v>
      </x:c>
      <x:c r="D161" s="7" t="str">
        <x:v>Tor Jensen | Laurence Pinturier | Amund Ulfsnes | Ulf Moltu</x:v>
      </x:c>
      <x:c r="E161" s="11" t="str">
        <x:v>2010</x:v>
      </x:c>
      <x:c r="F161" s="7" t="str">
        <x:v>Proceedings of SPE International Conference on Health, Safety, and Environment in Oil and Gas Exploration and Production</x:v>
      </x:c>
      <x:c r="G161" s="7" t="str">
        <x:v>conference-paper</x:v>
      </x:c>
      <x:c r="H161" s="7" t="str">
        <x:v>10.2523/126567-ms</x:v>
      </x:c>
      <x:c r="I161" s="7" t="str">
        <x:v>https://doi.org/10.2523/126567-ms</x:v>
      </x:c>
      <x:c r="J161" s="7" t="str">
        <x:v>Environmental Management and Visual Mapping as Alternative Monitoring in Heterogeneous Areas Tor Jensen; Tor Jensen DNV Search for other works by this author on: This Site Google Scholar Laurence Maryvonne Pinturier; Laurence Maryvonne Pinturier TOTAL E&amp;P NORGE AS Search for other works by this author on: This Site Google Scholar Amund Ulfsnes; Amund Ulfsnes DNV Search for other works by this author on: This Site Google Scholar Ulf Einar Moltu Ulf Einar Moltu TOTAL E&amp;P NORGE AS Search for other works by this author on: This Site Google Scholar Paper presented at the SPE International Conference on Health, Safety and Environment in Oil and Gas Exploration and Production, Rio de Janeiro, Brazil, April 2010. Paper Number: SPE-126567-MS https://doi.org/10.2118/126567-MS Published: April 12 2010 Cite View This Citation Add to Citation Manager Share Icon Share Twitter LinkedIn Get Permissions Search Site Citation Jensen, Tor , Pinturier, Laurence Maryvonne, Ulfsnes, Amund , and Ulf Einar Moltu. "Environmental Management and Visual Mapping as Alternative Monitoring in Heterogeneous Areas." Paper presented at the SPE International Conference on Health, Safety and Environment in Oil and Gas Exploration and Production, Rio de Janeiro, Brazil, April 2010. doi: https://doi.org/10.2118/126567-MS Download citation file: Ris (Zotero) Reference Manager EasyBib Bookends Mendeley Papers EndNote RefWorks BibTex Search nav search search input Search input auto suggest search filter All ContentAll ProceedingsSociety of Petroleum Engineers (SPE)SPE International Conference and Exhibition on Health, Safety, Environment, and Sustainability Search Advanced Search Abstract Environmental Baseline Study (EBS) in Norway has been carried out as traditional sediment sampling at the planned production site for biological, chemical and physical analysis prior to production drilling according to regulation. The extent of such study should be related to the risk of impact from the planned operations. This baseline can then be used as a reference for future environmental monitoring. Equally important is the contribution to environmental impact assessments defining the measures to eliminate, limit or offsetting the adverse effects that the operation could generate. For the Victoria location, a traditional EBS based on sediment sampling was not considered beneficial due to both anticipated coarse sediment as well as presence of corals at the elevated ridge south west in the area. A comprehensive study including sediment analysis, visual mapping with ROV (Remotely Operated Vehicle), current measurements and interpretation of side scan sonar data and bathymetry data was therefore applied to meet the challenges at Victoria. The video lines covered more than 130 km of sea bed and the interpretation enabled categorisation of the seabed in soft bottom, rocks and reef building corals. Still photos and HD videos of the major corals structures were used to identify the dominant species and assess their health status (dead, poor, live). Results were transferred to a GIS to define the optimal position of anchoring corridors minimising interference with sensitive ecosystems. The combination of the different methods used in the EBS gives a thorough coverage of the area. The amount and quality of data gathered also beyond the location of the appraisal well location, allow a proper assessment of the sensitivity of the area at the field scale. Based on the experiences gained, it is recommended that future monitoring in areas comprising different habitats (soft bottom, rocky habitat etc.) apply different dedicated monitoring methods. For the visual monitoring a recommendation of approaches are: ‒Turbidity and current should be measured before and during drilling to document the dispersion of particles to secure the monitoring strategies.‒Establish photo stations and indicator species to be monitored based on the data from turbidity and current measurements.‒The use of a GIS based map system is highly recommended to handle the amount of data collected in an efficient and presentable way.‒Collected data from future surveys should be implemented in the already existing GIS based map system of the Victoria site to secure an up to date database. Keywords: soft bottom, substrate, upstream oil &amp; gas, crescent, drilling, sediment, lophelia pertusa, corridor, well location, rov Subjects: Environment Copyright 2010, Society of Petroleum Engineers You can access this article if you purchase or spend a download.</x:v>
      </x:c>
      <x:c r="K161" s="11" t="str">
        <x:v>NO</x:v>
      </x:c>
      <x:c r="L161" s="7" t="str">
        <x:v>NOT_CONFIRMED</x:v>
      </x:c>
      <x:c r="M161" s="7" t="str"/>
      <x:c r="N161" s="7" t="str">
        <x:v>VERIFIED_DOI_DOCUMENT</x:v>
      </x:c>
      <x:c r="O161" s="7" t="str">
        <x:v>B01_DEEP_COLD_SEDIMENT_EVIDENCE</x:v>
      </x:c>
      <x:c r="P161" s="11" t="str">
        <x:v>HIGH</x:v>
      </x:c>
      <x:c r="Q161" s="7" t="str">
        <x:v>Lophelia pertusa and reef-building corals in a deep/cold-water setting (Norway). Health status assessed via ROV.</x:v>
      </x:c>
      <x:c r="R161" s="7" t="str">
        <x:v>Sediment analysis, turbidity and current measurements before/during drilling, and particle dispersion documentation.</x:v>
      </x:c>
      <x:c r="S161" s="7" t="str">
        <x:v>Coral health status (dead, poor, live), mapping of sensitive habitats, monitoring strategies for drilling impacts.</x:v>
      </x:c>
      <x:c r="T161" s="7" t="str">
        <x:v>Provides direct monitoring/assessment evidence of sediment-related impacts on cold-water corals, including turbidity and drilling particle dispersion.</x:v>
      </x:c>
      <x:c r="U161" s="7" t="str">
        <x:v>This conference paper describes an environmental baseline study at a Norwegian site where corals (Lophelia pertusa) and drilling are present. It explicitly mentions sediment analysis, visual ROV mapping, coral health assessment, and turbidity/current measurements to document particle dispersion during drilling. This is substantive evidence of sediment/drilling-related monitoring and impact assessment for deep/cold-water corals, fitting B01. It is excluded from CHAIN_ONLY because the coral-sediment linkage is clear, not just a reference source.</x:v>
      </x:c>
      <x:c r="V161" s="7" t="str">
        <x:v>ALL_VERIFIED_NON_TROPICAL_TIER_B_INCLUSIONS</x:v>
      </x:c>
      <x:c r="W161" s="7" t="str">
        <x:v>TBV1-0118</x:v>
      </x:c>
    </x:row>
    <x:row r="162" ht="42" customHeight="1">
      <x:c r="A162" s="17" t="str">
        <x:v>B</x:v>
      </x:c>
      <x:c r="B162" s="7" t="str">
        <x:v>CWC-54A0F8F59E46</x:v>
      </x:c>
      <x:c r="C162" s="7" t="str">
        <x:v>Environmental Management and Visual Mapping as Alternative Monitoring in Heterogeneous Areas</x:v>
      </x:c>
      <x:c r="D162" s="7" t="str">
        <x:v>Tor Jensen | Laurence Pinturier | Amund Ulfsnes | Ulf Moltu</x:v>
      </x:c>
      <x:c r="E162" s="11" t="str">
        <x:v>2010</x:v>
      </x:c>
      <x:c r="F162" s="7" t="str">
        <x:v>SPE International Conference on Health, Safety and Environment in Oil and Gas Exploration and Production</x:v>
      </x:c>
      <x:c r="G162" s="7" t="str">
        <x:v>conference-paper</x:v>
      </x:c>
      <x:c r="H162" s="7" t="str">
        <x:v>10.2118/126567-ms</x:v>
      </x:c>
      <x:c r="I162" s="7" t="str">
        <x:v>https://doi.org/10.2118/126567-ms</x:v>
      </x:c>
      <x:c r="J162" s="7" t="str">
        <x:v>Abstract Environmental Baseline Study (EBS) in Norway has been carried out as traditional sediment sampling at the planned production site for biological, chemical and physical analysis prior to production drilling according to regulation. The extent of such study should be related to the risk of impact from the planned operations. This baseline can then be used as a reference for future environmental monitoring. Equally important is the contribution to environmental impact assessments defining the measures to eliminate, limit or offsetting the adverse effects that the operation could generate. For the Victoria location, a traditional EBS based on sediment sampling was not considered beneficial due to both anticipated coarse sediment as well as presence of corals at the elevated ridge south west in the area. A comprehensive study including sediment analysis, visual mapping with ROV (Remotely Operated Vehicle), current measurements and interpretation of side scan sonar data and bathymetry data was therefore applied to meet the challenges at Victoria. The video lines covered more than 130 km of sea bed and the interpretation enabled categorisation of the seabed in soft bottom, rocks and reef building corals. Still photos and HD videos of the major corals structures were used to identify the dominant species and assess their health status (dead, poor, live). Results were transferred to a GIS to define the optimal position of anchoring corridors minimising interference with sensitive ecosystems. The combination of the different methods used in the EBS gives a thorough coverage of the area. The amount and quality of data gathered also beyond the location of the appraisal well location, allow a proper assessment of the sensitivity of the area at the field scale. Based on the experiences gained, it is recommended that future monitoring in areas comprising different habitats (soft bottom, rocky habitat etc.) apply different dedicated monitoring methods. For the visual monitoring a recommendation of approaches are: ‒Turbidity and current should be measured before and during drilling to document the dispersion of particles to secure the monitoring strategies.‒Establish photo stations and indicator species to be monitored based on the data from turbidity and current measurements.‒The use of a GIS based map system is highly recommended to handle the amount of data collected in an efficient and presentable way.‒Collected data from future surveys should be implemented in the already existing GIS based map system of the Victoria site to secure an up to date database.</x:v>
      </x:c>
      <x:c r="K162" s="11" t="str">
        <x:v>NO</x:v>
      </x:c>
      <x:c r="L162" s="7" t="str">
        <x:v>NOT_CONFIRMED</x:v>
      </x:c>
      <x:c r="M162" s="7" t="str"/>
      <x:c r="N162" s="7" t="str">
        <x:v>VERIFIED_DOI_DOCUMENT</x:v>
      </x:c>
      <x:c r="O162" s="7" t="str">
        <x:v>B02_DEEP_COLD_REVIEW_ASSESSMENT</x:v>
      </x:c>
      <x:c r="P162" s="11" t="str">
        <x:v>HIGH</x:v>
      </x:c>
      <x:c r="Q162" s="7" t="str">
        <x:v>Reef-building corals (dominant species identified via ROV stills/HD videos) with health status categorized as dead, poor, or live; presence of corals at elevated ridge in Victoria, Norway.</x:v>
      </x:c>
      <x:c r="R162" s="7" t="str">
        <x:v>Sediment analysis, turbidity and current measurements before and during drilling to document particle dispersion, anchoring corridors, and potential drilling-related sediment impacts.</x:v>
      </x:c>
      <x:c r="S162" s="7" t="str">
        <x:v>Health status assessment of coral structures (dead, poor, live); sensitivity assessment at field scale; monitoring recommendations including turbidity/current monitoring and photo stations for indicator species.</x:v>
      </x:c>
      <x:c r="T162" s="7" t="str">
        <x:v>Substantive conference paper describing an environmental baseline/monitoring study for a cold-water coral site in Norway, with explicit sediment and turbidity pathway and direct coral health/condition assessment, informing impact assessment and monitoring.</x:v>
      </x:c>
      <x:c r="U162" s="7" t="str">
        <x:v>The record describes an environmental baseline study in a Norwegian area with cold-water corals, using sediment sampling, ROV visual mapping, and health-status classification of corals. It explicitly addresses sediment-related stressors (turbidity and particle dispersion from drilling) and provides monitoring recommendations. This qualifies as B02 (deep/cold review/assessment) because it is a substantive monitoring/assessment document with direct sediment-impact focus and potential to inform effects, exposure, thresholds, vulnerability, mitigation, or recovery. B01 is a closer fit for direct evidence, but B02 more precisely captures the monitoring/assessment character. Excluded because organisms and sediment pathway are clearly present; not CHAIN_ONLY or EXCLUDE.</x:v>
      </x:c>
      <x:c r="V162" s="7" t="str">
        <x:v>ALL_VERIFIED_NON_TROPICAL_TIER_B_INCLUSIONS</x:v>
      </x:c>
      <x:c r="W162" s="7" t="str">
        <x:v>TBV1-0146</x:v>
      </x:c>
    </x:row>
    <x:row r="163" ht="42" customHeight="1">
      <x:c r="A163" s="17" t="str">
        <x:v>B</x:v>
      </x:c>
      <x:c r="B163" s="7" t="str">
        <x:v>CWC-1E5B9E081AE4</x:v>
      </x:c>
      <x:c r="C163" s="7" t="str">
        <x:v>Environmental Monitoring and Modeling of Drilling Discharges at a Location with Vulnerable Seabed Fauna: Comparison between Field Measurements and Model Simulations</x:v>
      </x:c>
      <x:c r="D163" s="7" t="str">
        <x:v>Tone Karin Frost | Janne L. Myrhaug | May Kristin Ditlevsen | Henrik Rye</x:v>
      </x:c>
      <x:c r="E163" s="11" t="str">
        <x:v>2014</x:v>
      </x:c>
      <x:c r="F163" s="7" t="str"/>
      <x:c r="G163" s="7" t="str">
        <x:v>conference-paper</x:v>
      </x:c>
      <x:c r="H163" s="7" t="str">
        <x:v>10.2118/168328-ms</x:v>
      </x:c>
      <x:c r="I163" s="7" t="str">
        <x:v>https://doi.org/10.2118/168328-ms</x:v>
      </x:c>
      <x:c r="J163" s="7" t="str">
        <x:v>Abstract Offshore drilling activities were carried out by Statoil at the Hyme field, located in the Norwegian Sea, in an area with vulnerable seabed fauna. Cold water corals (Lophelia) were identified in vicinity of the drilling well location. Drilling activities in sensitive areas requires that the operator perform an assessment of potential impact or risk of drilling discharges prior to the drilling operation. The risk assessment is an input to the planning of the drilling operation with regards to minimize negative impacts on corals or other vulnerable fauna present. In addition, environmental monitoring during the drilling operation is undertaken in such areas, to document and, if possible, prevent potential impacts on the seabed fauna. The monitoring program at the Hyme field included measurements of ocean currents, temperature, salinity, turbidity and sedimentation of particles at the drilling location during the drilling operation. After drilling, the environmental risk assessment was updated with actual current data and high resolution discharge data for the whole discharge period. The results from the field measurements were used for validation of model simulations of dispersion and deposition of discharged drilling particles, in order to predict actual exposure and consequently potential effects or risk to the corals. In the present paper a comparison between model simulations and field measurements is presented. The model predicted particle exposure concentrations and burial of corals will be verified against turbidity measurements in the water column and particle sedimentation measurements at different distances from the discharge points. A high level accuracy in the model simulations, as basis for assessment of potential impacts to biota, is of high importance. This enables the operator to evaluate alternatives with regards to drilling discharge solutions (discharge point etc.) with lowest impact on environmental resources at the drilling site prior to drilling. A high level of accuracy is also important in the validation of the simulation.</x:v>
      </x:c>
      <x:c r="K163" s="11" t="str">
        <x:v>NO</x:v>
      </x:c>
      <x:c r="L163" s="7" t="str">
        <x:v>NOT_CONFIRMED</x:v>
      </x:c>
      <x:c r="M163" s="7" t="str"/>
      <x:c r="N163" s="7" t="str">
        <x:v>VERIFIED_DOI_DOCUMENT</x:v>
      </x:c>
      <x:c r="O163" s="7" t="str">
        <x:v>B02_DEEP_COLD_REVIEW_ASSESSMENT</x:v>
      </x:c>
      <x:c r="P163" s="11" t="str">
        <x:v>HIGH</x:v>
      </x:c>
      <x:c r="Q163" s="7" t="str">
        <x:v>Cold water corals (Lophelia) identified in vicinity of the drilling well location in the Norwegian Sea.</x:v>
      </x:c>
      <x:c r="R163" s="7" t="str">
        <x:v>Drilling discharges, including suspended particles, turbidity, sedimentation, and potential burial of corals from drilling activities.</x:v>
      </x:c>
      <x:c r="S163" s="7" t="str">
        <x:v>Environmental monitoring during drilling (currents, turbidity, sedimentation) and model simulations to predict exposure, burial, and potential impacts/risk to corals; comparison of field measurements and model predictions.</x:v>
      </x:c>
      <x:c r="T163" s="7" t="str">
        <x:v>A substantive conference paper describing an environmental monitoring and risk assessment program for drilling discharges at a site with cold-water corals, directly focused on sediment-impact assessment and potential effects on corals.</x:v>
      </x:c>
      <x:c r="U163" s="7" t="str">
        <x:v>This record is an identifiable substantive conference paper on environmental monitoring and modeling of drilling discharges at a location with cold-water corals (Lophelia) in the Norwegian Sea. The abstract explicitly addresses sediment-related pathways (turbidity, particle sedimentation, burial) and their potential impacts on corals, including model simulations to predict exposure and risk. This meets Tier B B02 as a monitoring/assessment document with direct sediment-impact focus. It is not excluded because it contains coral-specific evidence and sediment pathway, not just physical modeling. The closest alternative would be B01, but B02 better captures the monitoring/assessment nature without direct biological response data. Confidence is high based on abstract content.</x:v>
      </x:c>
      <x:c r="V163" s="7" t="str">
        <x:v>ALL_VERIFIED_NON_TROPICAL_TIER_B_INCLUSIONS</x:v>
      </x:c>
      <x:c r="W163" s="7" t="str">
        <x:v>TBV1-0075</x:v>
      </x:c>
    </x:row>
    <x:row r="164" ht="42" customHeight="1">
      <x:c r="A164" s="17" t="str">
        <x:v>B</x:v>
      </x:c>
      <x:c r="B164" s="7" t="str">
        <x:v>CWC-683F99F31B69</x:v>
      </x:c>
      <x:c r="C164" s="7" t="str">
        <x:v>Environmental Monitoring Report - Morvin 2009-2010</x:v>
      </x:c>
      <x:c r="D164" s="7" t="str"/>
      <x:c r="E164" s="11" t="str"/>
      <x:c r="F164" s="7" t="str">
        <x:v>Institute of Marine Research</x:v>
      </x:c>
      <x:c r="G164" s="7" t="str">
        <x:v>monitoring_report</x:v>
      </x:c>
      <x:c r="H164" s="7" t="str"/>
      <x:c r="I164" s="7" t="str">
        <x:v>https://www.hi.no/resources/publikasjoner/rapport-fra-havforskningen/andre_rapporter/morvin_environmental_monitoring_report_2_.pdf</x:v>
      </x:c>
      <x:c r="J164" s="7" t="str">
        <x:v>drilling phase. We were then looking for any abnormal changes in behaviour or generation of mucus (slime that the coral produces under stress) on corals exposed to plumes of drill cuttings. Three sets of time series were post processed for more detailed results on behavioural patterns. Two time series were taken from the onboard camera of the ROV and one from the camera satellite, connected with cable to a lander. The ROV time series were used for a general comparison of behavioural patterns [...] may be one factor that could lead to polyp retraction. In such conditions the polyps are not able</x:v>
      </x:c>
      <x:c r="K164" s="11" t="str">
        <x:v>YES</x:v>
      </x:c>
      <x:c r="L164" s="7" t="str">
        <x:v>FROZEN_PUBLIC_FULL_TEXT_LOCATION</x:v>
      </x:c>
      <x:c r="M164" s="7" t="str">
        <x:v>https://www.hi.no/resources/publikasjoner/rapport-fra-havforskningen/andre_rapporter/morvin_environmental_monitoring_report_2_.pdf</x:v>
      </x:c>
      <x:c r="N164" s="7" t="str">
        <x:v>VERIFIED_DIRECT_DOCUMENT_URL</x:v>
      </x:c>
      <x:c r="O164" s="7" t="str">
        <x:v>B01_DEEP_COLD_SEDIMENT_EVIDENCE</x:v>
      </x:c>
      <x:c r="P164" s="11" t="str">
        <x:v>HIGH</x:v>
      </x:c>
      <x:c r="Q164" s="7" t="str">
        <x:v>Cold-water corals, likely Lophelia pertusa or similar, exposed to drill cuttings plumes; the report describes coral behaviour under stress, including mucus production and polyp retraction.</x:v>
      </x:c>
      <x:c r="R164" s="7" t="str">
        <x:v>Drill cuttings plumes, a sediment/deposition pathway from drilling operations, directly examined in an environmental monitoring context.</x:v>
      </x:c>
      <x:c r="S164" s="7" t="str">
        <x:v>Monitoring of coral behavior (mucus production, polyp retraction) and potential abnormal changes as biological impact indicators, with time-series analysis.</x:v>
      </x:c>
      <x:c r="T164" s="7" t="str">
        <x:v>This is a deep/cold-water coral monitoring report with explicit sediment-related pathway (drill cuttings) and biological response evidence, fitting B01_DEEP_COLD_SEDIMENT_EVIDENCE.</x:v>
      </x:c>
      <x:c r="U164" s="7" t="str">
        <x:v>The document is an environmental monitoring report from the Institute of Marine Research focusing on corals exposed to drill cuttings plumes during drilling. The abstract explicitly mentions looking for abnormal changes in behavior or mucus production in corals, and notes polyp retraction—all direct biological responses to sediment stress. This clearly meets Tier B pathway B01 (deep/cold sediment evidence) as it provides monitoring and impact evidence for cold-water corals under sediment exposure. The alternative B02 would also apply as a monitoring report, but B01 is more specific because it directly documents biological responses. Excluded because the organism (coral) and stressor (drill cuttings) are central, not peripheral.</x:v>
      </x:c>
      <x:c r="V164" s="7" t="str">
        <x:v>ALL_VERIFIED_NON_TROPICAL_TIER_B_INCLUSIONS</x:v>
      </x:c>
      <x:c r="W164" s="7" t="str">
        <x:v>TBV1-0231</x:v>
      </x:c>
    </x:row>
    <x:row r="165" ht="42" customHeight="1">
      <x:c r="A165" s="17" t="str">
        <x:v>B</x:v>
      </x:c>
      <x:c r="B165" s="7" t="str">
        <x:v>CWC-CB8F5A138FD9</x:v>
      </x:c>
      <x:c r="C165" s="7" t="str">
        <x:v>ENVIRONMENTAL SEABED SURVEY PROGRAM</x:v>
      </x:c>
      <x:c r="D165" s="7" t="str"/>
      <x:c r="E165" s="11" t="str">
        <x:v>2024</x:v>
      </x:c>
      <x:c r="F165" s="7" t="str">
        <x:v>Equinor Canada Ltd.</x:v>
      </x:c>
      <x:c r="G165" s="7" t="str">
        <x:v>monitoring_report</x:v>
      </x:c>
      <x:c r="H165" s="7" t="str"/>
      <x:c r="I165" s="7" t="str">
        <x:v>https://cdn.equinor.com/files/h61q9gi9/global/fb47f9e3ee1e178e2dacbb4ef622c886730a0ed2.pdf?equinor-2023-survey-report-final-v5-wapp.pdf=</x:v>
      </x:c>
      <x:c r="J165" s="7" t="str">
        <x:v>Equinor 2023 Survey Project No. TE23721001 Equinor Canada Ltd. WSP March 2024 Page 19 Figure 3-3 Largest grain size percent present for the Sitka wellsite area (by section) Equinor 2023 Survey Project No. TE23721001 Equinor Canada Ltd. WSP March 2024 Page 20 Figure 3-4 Sea pen abundance for the Sitka wellsite area (by section) Equinor 2023 Survey Project No. TE23721001 Equinor Canada Ltd. WSP March 2024 Page 21 Figure 3-5 Sea pen density for the Sitka wellsite area (by section) Equinor 2023 Survey Project No. TE23721001 Equinor Canada Ltd. WSP March 2024 Page 22 Figure 3-6 Small gorgonian abun</x:v>
      </x:c>
      <x:c r="K165" s="11" t="str">
        <x:v>YES</x:v>
      </x:c>
      <x:c r="L165" s="7" t="str">
        <x:v>FROZEN_PUBLIC_FULL_TEXT_LOCATION</x:v>
      </x:c>
      <x:c r="M165" s="7" t="str">
        <x:v>https://cdn.equinor.com/files/h61q9gi9/global/fb47f9e3ee1e178e2dacbb4ef622c886730a0ed2.pdf?equinor-2023-survey-report-final-v5-wapp.pdf=</x:v>
      </x:c>
      <x:c r="N165" s="7" t="str">
        <x:v>VERIFIED_DIRECT_DOCUMENT_URL</x:v>
      </x:c>
      <x:c r="O165" s="7" t="str">
        <x:v>B02_DEEP_COLD_REVIEW_ASSESSMENT</x:v>
      </x:c>
      <x:c r="P165" s="11" t="str">
        <x:v>MEDIUM</x:v>
      </x:c>
      <x:c r="Q165" s="7" t="str">
        <x:v>Sea pens (abundance and density) and small gorgonians (abundance) in the Sitka wellsite area.</x:v>
      </x:c>
      <x:c r="R165" s="7" t="str">
        <x:v>Sediment grain size data (largest grain size percent) at the Sitka wellsite, reflecting seabed sediment characteristics relevant to potential drilling-related disturbance or deposition.</x:v>
      </x:c>
      <x:c r="S165" s="7" t="str">
        <x:v>Environmental seabed survey monitoring report providing baseline abundance and density of sea pens and gorgonians alongside sediment physical data, with potential to inform sediment-related effects, exposure, and environmental assessment for cold-water corals.</x:v>
      </x:c>
      <x:c r="T165" s="7" t="str">
        <x:v>B02_DEEP_COLD_REVIEW_ASSESSMENT: A substantive industry monitoring report for a cold-water wellsite, directly reporting sediment properties and coral (sea pen, gorgonian) distributions, with clear potential to inform sediment-impact assessments and mitigation.</x:v>
      </x:c>
      <x:c r="U165" s="7" t="str">
        <x:v>This document is a 2024 environmental seabed survey monitoring report from Equinor Canada for the Sitka wellsite. The abstract/snippet explicitly mentions sediment grain size data and sea pen and gorgonian abundance and density in the same context, indicating a coupled assessment of physical seabed conditions and sensitive cold-water coral taxa. This fits B02 as a substantive monitoring report with a direct sediment-impact focus and clear potential to inform effects, exposure, or mitigation in a deep/cold-water setting. It is not merely a discovery webpage or a broad benthic study without separate coral/sponge evidence. The choice is TIER_B_INCLUDE rather than CHAIN_ONLY because the content indicates direct sediment and coral evidence, though full-text verification is needed to confirm the strength of the linkage. Confidence is medium given the limited snippet, which is why needs_full_text is true.</x:v>
      </x:c>
      <x:c r="V165" s="7" t="str">
        <x:v>ALL_VERIFIED_NON_TROPICAL_TIER_B_INCLUSIONS</x:v>
      </x:c>
      <x:c r="W165" s="7" t="str">
        <x:v>TBV1-0324</x:v>
      </x:c>
    </x:row>
    <x:row r="166" ht="42" customHeight="1">
      <x:c r="A166" s="17" t="str">
        <x:v>B</x:v>
      </x:c>
      <x:c r="B166" s="7" t="str">
        <x:v>CWC-0B58FB88242C</x:v>
      </x:c>
      <x:c r="C166" s="7" t="str">
        <x:v>Ephesus pre-drilling June 2022 Seabed Investigation Report</x:v>
      </x:c>
      <x:c r="D166" s="7" t="str"/>
      <x:c r="E166" s="11" t="str">
        <x:v>2022</x:v>
      </x:c>
      <x:c r="F166" s="7" t="str">
        <x:v>RPS</x:v>
      </x:c>
      <x:c r="G166" s="7" t="str">
        <x:v>monitoring_report</x:v>
      </x:c>
      <x:c r="H166" s="7" t="str"/>
      <x:c r="I166" s="7" t="str">
        <x:v>https://www.bp.com/content/dam/bp/business-sites/en/global/corporate/pdfs/what-we-do/worldwide/newfoundland-and-labrador/pre-drilling-june-2022-seabed-investigation-report.pdf</x:v>
      </x:c>
      <x:c r="J166" s="7" t="str">
        <x:v>SURVEY REPORT 217649 | Ephesus Pre-Drilling Benthic Fauna (Coral &amp; Sponge) Survey | Final | 23 September 2022 rpsgroup.com Page 12 3.1.5 Corals (Other than Sea Pens) Seven species of cold-water corals, aside from the sea pens were observed. Six under class (Octocorallia: Alcyonacae) were recorded in the survey area namely, Acanella arbuscula, Acanthogorgia armata, Anthomastus, Duva, Gersemia, Radicipes gracilis and one under class (Hexacorallia: Antipatharia), the Stichopathes. The black coral [...] groups according to E. Kenchington et al. 2015. Taxonomic identification was dependant on quali</x:v>
      </x:c>
      <x:c r="K166" s="11" t="str">
        <x:v>YES</x:v>
      </x:c>
      <x:c r="L166" s="7" t="str">
        <x:v>FROZEN_PUBLIC_FULL_TEXT_LOCATION</x:v>
      </x:c>
      <x:c r="M166" s="7" t="str">
        <x:v>https://www.bp.com/content/dam/bp/business-sites/en/global/corporate/pdfs/what-we-do/worldwide/newfoundland-and-labrador/pre-drilling-june-2022-seabed-investigation-report.pdf</x:v>
      </x:c>
      <x:c r="N166" s="7" t="str">
        <x:v>VERIFIED_DIRECT_DOCUMENT_URL</x:v>
      </x:c>
      <x:c r="O166" s="7" t="str">
        <x:v>B02_DEEP_COLD_REVIEW_ASSESSMENT</x:v>
      </x:c>
      <x:c r="P166" s="11" t="str">
        <x:v>MEDIUM</x:v>
      </x:c>
      <x:c r="Q166" s="7" t="str">
        <x:v>Cold-water corals (Acanella arbuscula, Acanthogorgia armata, Anthomastus, Duva, Gersemia, Radicipes gracilis, Stichopathes) and presumably sponges surveyed.</x:v>
      </x:c>
      <x:c r="R166" s="7" t="str">
        <x:v>Pre-drilling seabed investigation for an offshore drilling project, indicating potential sediment-related disturbance from drilling activities.</x:v>
      </x:c>
      <x:c r="S166" s="7" t="str">
        <x:v>Baseline monitoring of coral and sponge presence and distribution, providing ecological data to inform impact assessment for drilling-related sediment disturbance.</x:v>
      </x:c>
      <x:c r="T166" s="7" t="str">
        <x:v>B02_DEEP_COLD_REVIEW_ASSESSMENT</x:v>
      </x:c>
      <x:c r="U166" s="7" t="str">
        <x:v>This is a pre-drilling seabed investigation report for the Ephesus project, explicitly documenting cold-water coral and sponge fauna in an area to be drilled. As a monitoring report tied to offshore drilling, it directly informs assessment of potential sediment-related impacts on deep-sea corals and sponges. The title and context establish a clear link to drilling-related sediment disturbance, making it a substantive assessment document eligible under B02. The closest alternative would be CHAIN_ONLY if the sediment focus were unclear, but the pre-drilling context justifies inclusion. Full text is needed to confirm the sediment-impact focus and specific assessment content.</x:v>
      </x:c>
      <x:c r="V166" s="7" t="str">
        <x:v>ALL_VERIFIED_NON_TROPICAL_TIER_B_INCLUSIONS</x:v>
      </x:c>
      <x:c r="W166" s="7" t="str">
        <x:v>TBV1-0147</x:v>
      </x:c>
    </x:row>
    <x:row r="167" ht="42" customHeight="1">
      <x:c r="A167" s="17" t="str">
        <x:v>B</x:v>
      </x:c>
      <x:c r="B167" s="7" t="str">
        <x:v>GLV4-877A276EC7DA</x:v>
      </x:c>
      <x:c r="C167" s="7" t="str">
        <x:v>European Lifestyles and Marine Ecosystems - CORDIS</x:v>
      </x:c>
      <x:c r="D167" s="7" t="str"/>
      <x:c r="E167" s="11" t="str"/>
      <x:c r="F167" s="7" t="str">
        <x:v>cordis.europa.eu</x:v>
      </x:c>
      <x:c r="G167" s="7" t="str">
        <x:v>report</x:v>
      </x:c>
      <x:c r="H167" s="7" t="str"/>
      <x:c r="I167" s="7" t="str">
        <x:v>https://cordis.europa.eu/docs/projects/files/505/505576/106255051-6_en.pdf</x:v>
      </x:c>
      <x:c r="J167" s="7" t="str">
        <x:v>Lophelia pertusa reef Plankton biomass [Contaminant] seawater Mechanical disturbance severity Mechanical disturbance frequency Mechanical disturbance extent Larval recruitment Sedimentation Water current flow Water temperature Oil &amp; gas extraction Dredging &amp; trawling effort Fig. 20 Conceptual model for Lophelia pertusa biogenic reef habitat with the simulation model embedded within it (colours follow those used in the regional model). [...] P from sediment N fixation Turbidity Recruitment [Contam.] seawater Zoobenthos Zooplankton Macrophytes Filament. algae Cod stocks Sprat stocks Toxins in fi</x:v>
      </x:c>
      <x:c r="K167" s="11" t="str">
        <x:v>YES</x:v>
      </x:c>
      <x:c r="L167" s="7" t="str">
        <x:v>PUBLIC_FULL_DOCUMENT_LOCATION</x:v>
      </x:c>
      <x:c r="M167" s="7" t="str">
        <x:v>https://cordis.europa.eu/docs/projects/files/505/505576/106255051-6_en.pdf</x:v>
      </x:c>
      <x:c r="N167" s="7" t="str">
        <x:v>VERIFIED_DIRECT_DOCUMENT_URL</x:v>
      </x:c>
      <x:c r="O167" s="7" t="str">
        <x:v>B01_DEEP_COLD_SEDIMENT_EVIDENCE</x:v>
      </x:c>
      <x:c r="P167" s="11" t="str">
        <x:v>MEDIUM</x:v>
      </x:c>
      <x:c r="Q167" s="7" t="str">
        <x:v>Deep-sea cold-water coral Lophelia pertusa (biogenic reef habitat).</x:v>
      </x:c>
      <x:c r="R167" s="7" t="str">
        <x:v>Sedimentation and turbidity explicitly included in a conceptual model, also referencing water flow, mechanical disturbance, oil &amp; gas extraction, and dredging &amp; trawling effort.</x:v>
      </x:c>
      <x:c r="S167" s="7" t="str">
        <x:v>Conceptual model linking sediment-related variables to Lophelia pertusa reef condition, including plankton biomass, larval recruitment, and broader ecosystem structure; provides assessment evidence for potential sediment effects.</x:v>
      </x:c>
      <x:c r="T167" s="7" t="str">
        <x:v>B01: Deep/cold source (Lophelia pertusa) with explicit sediment/turbidity pathway and biological/ecological evidence via a conceptual model.</x:v>
      </x:c>
      <x:c r="U167" s="7" t="str">
        <x:v>The record is a CORDIS project report that includes a conceptual model for the deep-sea cold-water coral Lophelia pertusa. The snippet explicitly names Sedimentation and Turbidity as stressors, alongside recruitment and plankton biomass as biological/ecological variables. This meets Tier B B01: a deep-sea coral source with an explicit sediment pathway and associated biological/ecological evidence, even though the evidence is presented as a conceptual model rather than direct measurements. The report is likely a substantive document, not a discovery page. Closest alternative would be B02 (review/assessment), but the presence of explicit sediment pathway and ecological response data aligns more directly with B01. Excluded options are not applicable as there is clear coral-sediment content.</x:v>
      </x:c>
      <x:c r="V167" s="7" t="str">
        <x:v>ALL_VERIFIED_NON_TROPICAL_TIER_B_INCLUSIONS</x:v>
      </x:c>
      <x:c r="W167" s="7" t="str">
        <x:v>TBV1-0549</x:v>
      </x:c>
    </x:row>
    <x:row r="168" ht="42" customHeight="1">
      <x:c r="A168" s="17" t="str">
        <x:v>B</x:v>
      </x:c>
      <x:c r="B168" s="7" t="str">
        <x:v>CWC-6D47AFD7FA50</x:v>
      </x:c>
      <x:c r="C168" s="7" t="str">
        <x:v>Exploring time series of hyperspectral images for cold water coral stress response analysis</x:v>
      </x:c>
      <x:c r="D168" s="7" t="str">
        <x:v>Langenkämper, D | Mogstad, AA | Hansen, IM | Baussant, T | Bergsagel, O | Nilssen, I | Frost, TK | Nattkemper, TW</x:v>
      </x:c>
      <x:c r="E168" s="11" t="str">
        <x:v>2022</x:v>
      </x:c>
      <x:c r="F168" s="7" t="str">
        <x:v>PLOS ONE</x:v>
      </x:c>
      <x:c r="G168" s="7" t="str">
        <x:v>JOUR</x:v>
      </x:c>
      <x:c r="H168" s="7" t="str">
        <x:v>10.1371/journal.pone.0272408</x:v>
      </x:c>
      <x:c r="I168" s="7" t="str">
        <x:v>https://doi.org/10.1371/journal.pone.0272408</x:v>
      </x:c>
      <x:c r="J168" s="7" t="str">
        <x:v>Hyperspectral imaging (HSI) is a promising technology for environmental monitoring with a lot of undeveloped potential due to the high dimensionality and complexity of the data. If temporal effects are studied, such as in a monitoring context, the analysis becomes more challenging as time is added to the dimensions of space (image coordinates) and wavelengths. We conducted a series of laboratory experiments to investigate the impact of different stressor exposure patterns on the spectrum of the cold water coral Desmophyllum pertusum. 65 coral samples were divided into 12 groups, each group being exposed to different types and levels of particles. Hyperspectral images of the coral samples were collected at four time points from prior to exposure to 6 weeks after exposure. To investigate the relationships between the corals' spectral signatures and controlled experimental parameters, a new software tool for interactive visual exploration was developed and applied, the HypIX (Hyperspectral Image eXplorer) web tool. HypIX combines principles from exploratory data analysis, information visualization and machine learning-based dimension reduction. This combination enables users to select regions of interest (ROI) in all dimensions (2D space, time point and spectrum) for a flexible integrated inspection. We propose two HypIX workflows to find relationships in time series of hyperspectral datasets, namely morphology-based filtering workflow and embedded driven response analysis workflow. With these HypIX workflows three users identified different temporal and spatial patterns in the spectrum of corals exposed to different particle stressor conditions. Corals exposed to particles tended to have a larger change rate than control corals, which was evident as a shifted spectrum. The responses, however, were not uniform for coral samples undergoing the same exposure treatments, indicating individual tolerance levels. We also observed a good inter-observer agreement between the three HyPIX users, indicating that the proposed workflow can be applied to obtain reproducible HSI analysis results.</x:v>
      </x:c>
      <x:c r="K168" s="11" t="str">
        <x:v>NO</x:v>
      </x:c>
      <x:c r="L168" s="7" t="str">
        <x:v>NOT_CONFIRMED</x:v>
      </x:c>
      <x:c r="M168" s="7" t="str"/>
      <x:c r="N168" s="7" t="str">
        <x:v>VERIFIED_DOI_DOCUMENT</x:v>
      </x:c>
      <x:c r="O168" s="7" t="str">
        <x:v>B01_DEEP_COLD_SEDIMENT_EVIDENCE</x:v>
      </x:c>
      <x:c r="P168" s="11" t="str">
        <x:v>HIGH</x:v>
      </x:c>
      <x:c r="Q168" s="7" t="str">
        <x:v>Cold-water coral Desmophyllum pertusum (Lophelia pertusa)</x:v>
      </x:c>
      <x:c r="R168" s="7" t="str">
        <x:v>Laboratory exposure to different types and levels of particles (sediment-related stressor)</x:v>
      </x:c>
      <x:c r="S168" s="7" t="str">
        <x:v>Hyperspectral signatures showed larger change rate in particle-exposed corals compared to controls, indicating stress response; non-uniform responses suggest individual tolerance levels</x:v>
      </x:c>
      <x:c r="T168" s="7" t="str">
        <x:v>B01_DEEP_COLD_SEDIMENT_EVIDENCE: Direct experimental evidence of sediment/particle exposure on a cold-water coral with a biological stress response</x:v>
      </x:c>
      <x:c r="U168" s="7" t="str">
        <x:v>This is a substantive journal article reporting controlled laboratory experiments exposing the cold-water coral Desmophyllum pertusum to different particle stressors and measuring hyperspectral changes over time. The coral is a deep-sea cold-water species, the stressor is explicitly sediment/particle exposure, and the response is a spectrally detected stress response with individual variation. This meets the Tier B B01 pathway for deep/cold sediment evidence. It is preferable to B03 because the organism is deep-sea cold-water coral rather than a non-tropical shallower species. CHAIN_ONLY is not chosen because the coral and sediment pathway are central. Excluded because the evidence is direct and substantive.</x:v>
      </x:c>
      <x:c r="V168" s="7" t="str">
        <x:v>ALL_VERIFIED_NON_TROPICAL_TIER_B_INCLUSIONS</x:v>
      </x:c>
      <x:c r="W168" s="7" t="str">
        <x:v>TBV1-0186</x:v>
      </x:c>
    </x:row>
    <x:row r="169" ht="42" customHeight="1">
      <x:c r="A169" s="17" t="str">
        <x:v>B</x:v>
      </x:c>
      <x:c r="B169" s="7" t="str">
        <x:v>CWC-E68FDE82882F</x:v>
      </x:c>
      <x:c r="C169" s="7" t="str">
        <x:v>First in-situ monitoring of sponge response and recovery to an industrial sedimentation event</x:v>
      </x:c>
      <x:c r="D169" s="7" t="str">
        <x:v>Jennifer M. Durden | Michael Clare | Johanne Vad | Andrew R. Gates</x:v>
      </x:c>
      <x:c r="E169" s="11" t="str">
        <x:v>2023</x:v>
      </x:c>
      <x:c r="F169" s="7" t="str">
        <x:v>Marine Pollution Bulletin</x:v>
      </x:c>
      <x:c r="G169" s="7" t="str">
        <x:v>article</x:v>
      </x:c>
      <x:c r="H169" s="7" t="str">
        <x:v>10.1016/j.marpolbul.2023.114870</x:v>
      </x:c>
      <x:c r="I169" s="7" t="str">
        <x:v>https://doi.org/10.1016/j.marpolbul.2023.114870</x:v>
      </x:c>
      <x:c r="J169" s="7" t="str">
        <x:v>Assessment of risks to seabed habitats from industrial activities is based on the resilience and potential for recovery. Increased sedimentation, a key impact of many offshore industries, results in burial and smothering of benthic organisms. Sponges are particularly vulnerable to increases in suspended and deposited sediment, but response and recovery have not been observed in-situ. We quantified the impact of sedimentation from offshore hydrocarbon drilling over ∼5 days on a lamellate demosponge, and its recovery in-situ over ∼40 days using hourly time-lapse photographs with measurements of backscatter (a proxy of suspended sediment) and current speed. Sediment accumulated on the sponge then cleared largely gradually but occasionally sharply, though it did not return to the initial state. This partial recovery likely involved a combination of active and passive removal. We discuss the use of in-situ observing, which is critical to monitoring impacts in remote habitats, and need for calibration to laboratory conditions.</x:v>
      </x:c>
      <x:c r="K169" s="11" t="str">
        <x:v>YES</x:v>
      </x:c>
      <x:c r="L169" s="7" t="str">
        <x:v>FROZEN_PUBLIC_FULL_TEXT_LOCATION</x:v>
      </x:c>
      <x:c r="M169" s="7" t="str">
        <x:v>https://ars.els-cdn.com/content/image/1-s2.0-S0025326X23003016-ga1_lrg.jpg</x:v>
      </x:c>
      <x:c r="N169" s="7" t="str">
        <x:v>VERIFIED_DOI_DOCUMENT</x:v>
      </x:c>
      <x:c r="O169" s="7" t="str">
        <x:v>B01_DEEP_COLD_SEDIMENT_EVIDENCE</x:v>
      </x:c>
      <x:c r="P169" s="11" t="str">
        <x:v>HIGH</x:v>
      </x:c>
      <x:c r="Q169" s="7" t="str">
        <x:v>A lamellate demosponge (likely deep-sea/cold-water sponge) in a marine benthic habitat affected by offshore drilling.</x:v>
      </x:c>
      <x:c r="R169" s="7" t="str">
        <x:v>Increased sedimentation from offshore hydrocarbon drilling over ~5 days, leading to sediment accumulation, burial, and smothering.</x:v>
      </x:c>
      <x:c r="S169" s="7" t="str">
        <x:v>Quantified sediment accumulation on the sponge, gradual and sharp clearance over ~40 days, and partial recovery from initial state; discusses in-situ monitoring and calibration to lab conditions.</x:v>
      </x:c>
      <x:c r="T169" s="7" t="str">
        <x:v>Direct in-situ evidence of sponge response and recovery to an industrial sedimentation event, meeting B01 for deep/cold sediment evidence.</x:v>
      </x:c>
      <x:c r="U169" s="7" t="str">
        <x:v>The abstract explicitly documents sponge exposure to sedimentation from offshore drilling and reports biological responses (accumulation, clearance, partial recovery). The organism is a sponge in a deep/cold context, and the stressor is sediment deposition/smothering. This is directly relevant to Tier B pathway B01 (deep/cold sediment evidence) and also aligns with B03 as a non-tropical direct mechanism, but B01 is more specific. The study provides monitoring and impact evidence, making it a substantive document eligible for inclusion.</x:v>
      </x:c>
      <x:c r="V169" s="7" t="str">
        <x:v>ALL_VERIFIED_CENTRAL_PEER_REVIEWED</x:v>
      </x:c>
      <x:c r="W169" s="7" t="str">
        <x:v>TBV1-0163</x:v>
      </x:c>
    </x:row>
    <x:row r="170" ht="42" customHeight="1">
      <x:c r="A170" s="17" t="str">
        <x:v>B</x:v>
      </x:c>
      <x:c r="B170" s="7" t="str">
        <x:v>CWC-1734E5F756EF</x:v>
      </x:c>
      <x:c r="C170" s="7" t="str">
        <x:v>First Macro-Colonizers and Survivors Around Tagoro Submarine Volcano, Canary Islands, Spain</x:v>
      </x:c>
      <x:c r="D170" s="7" t="str">
        <x:v>Ana Sotomayor‐García | José L. Rueda | Olga Sánchez-Guillamón | Javier Urra | J.T. Vázquez | Desirée Palomino | L.M. Fernández-Salas | N. López-González | M. González-Porto | J. Magdalena Santana‐Casiano | Melchor González‐Dávila | Carmen Presas˗Navarro | E. Fraile‐Nuez</x:v>
      </x:c>
      <x:c r="E170" s="11" t="str">
        <x:v>2019</x:v>
      </x:c>
      <x:c r="F170" s="7" t="str">
        <x:v>Geosciences</x:v>
      </x:c>
      <x:c r="G170" s="7" t="str">
        <x:v>article</x:v>
      </x:c>
      <x:c r="H170" s="7" t="str">
        <x:v>10.3390/geosciences9010052</x:v>
      </x:c>
      <x:c r="I170" s="7" t="str">
        <x:v>https://doi.org/10.3390/geosciences9010052</x:v>
      </x:c>
      <x:c r="J170" s="7" t="str">
        <x:v>Tagoro, the youngest submarine volcano of the Canary Islands, erupted in 2011 South of El Hierro Island. Pre-existing sea floor and inhabiting biological communities were buried by the newly erupted material, promoting the appearance of new habitats. The present study pursues to describe the first metazoans colonizing different new habitats formed during the eruption and to create precedent on this field. Through dredge and remote operated vehicle samplings, five main habitat types have been detected based on the substrate type and burial status after the eruption. Inside the Tagoro volcanic complex (TVC), two new habitats are located in and around the summit and main craters—hydrothermal vents with bacterial mats and sulfurous-like fields mainly colonized by small hydrozoan colonies. Two other habitats are located downslope the TVC; new hard substrate and new mixed substrate, holding the highest biodiversity of the TVC, especially at the mixed bottoms with annelids (Chloeia cf. venusta), arthropods (Monodaeus couchii and Alpheus sp.), cnidarians (Sertularella cf. tenella), and molluscs (Neopycnodonte cochlear) as the first colonizers. An impact evaluation was done comparing the communities of those habitats with the complex and well-established community described at the stable hard substrate outside the TVC, which is constituted of highly abundant hydrozoans (Aglaophenia sp.), antipatharians (Stichopates setacea and Antipathes furcata), and colonizing epibionts (e.g., Neopycnodonte cochlear). Three years after the eruption, species numbers at Tagoro were still low compared to those occurring at similar depths outside the TVC. The first dominant species at the TVC included a large proportion of common suspension feeders of the circalittoral and bathyal hard bottoms of the area, which could have exploited the uncolonized hard bottoms and the post eruptive fertilization of water masses.</x:v>
      </x:c>
      <x:c r="K170" s="11" t="str">
        <x:v>YES</x:v>
      </x:c>
      <x:c r="L170" s="7" t="str">
        <x:v>FROZEN_PUBLIC_FULL_TEXT_LOCATION</x:v>
      </x:c>
      <x:c r="M170" s="7" t="str">
        <x:v>https://www.mdpi.com/2076-3263/9/1/52/pdf?version=1547886104</x:v>
      </x:c>
      <x:c r="N170" s="7" t="str">
        <x:v>VERIFIED_DOI_DOCUMENT</x:v>
      </x:c>
      <x:c r="O170" s="7" t="str">
        <x:v>B01_DEEP_COLD_SEDIMENT_EVIDENCE</x:v>
      </x:c>
      <x:c r="P170" s="11" t="str">
        <x:v>HIGH</x:v>
      </x:c>
      <x:c r="Q170" s="7" t="str">
        <x:v>Deep-sea/cold-water cnidarians, including antipatharian corals (Stichopates setacea, Antipathes furcata) and hydrozoans, as well as other benthic invertebrates.</x:v>
      </x:c>
      <x:c r="R170" s="7" t="str">
        <x:v>Burial and habitat alteration caused by newly erupted volcanic material from the Tagoro submarine volcano; sediment/deposition pathway affecting the seafloor.</x:v>
      </x:c>
      <x:c r="S170" s="7" t="str">
        <x:v>Impact evaluation comparing colonizer communities inside the volcanic complex with stable hard substrate outside; reports changes in species numbers, community composition, and colonization patterns.</x:v>
      </x:c>
      <x:c r="T170" s="7" t="str">
        <x:v>Deep-sea coral-bearing communities were buried by erupted material, and the study provides biological/ecological impact evidence by comparing pre- and post-eruption communities and colonization.</x:v>
      </x:c>
      <x:c r="U170" s="7" t="str">
        <x:v>This article documents the burial of pre-existing seafloor communities by newly erupted volcanic material at Tagoro submarine volcano, a clear sediment/deposition pathway. Organism evidence includes deep-sea antipatharian corals and other cnidarians. The study provides impact evaluation through community comparisons and colonization patterns, meeting B01. It is not merely a distributional or geological study. Although volcanic material is not classic sediment, burial/deposition is explicitly relevant. B02 is less appropriate as this is a primary study, not a review/assessment. B03 would require direct experimental testing, which is absent. Thus B01 is the best fit.</x:v>
      </x:c>
      <x:c r="V170" s="7" t="str">
        <x:v>ALL_VERIFIED_CENTRAL_PEER_REVIEWED</x:v>
      </x:c>
      <x:c r="W170" s="7" t="str">
        <x:v>TBV1-0076</x:v>
      </x:c>
    </x:row>
    <x:row r="171" ht="42" customHeight="1">
      <x:c r="A171" s="17" t="str">
        <x:v>B</x:v>
      </x:c>
      <x:c r="B171" s="7" t="str">
        <x:v>CWC-BFA3694F30B3</x:v>
      </x:c>
      <x:c r="C171" s="7" t="str">
        <x:v>Genesis and morphology of cold-water coral ridges in a unidirectional current regime</x:v>
      </x:c>
      <x:c r="D171" s="7" t="str">
        <x:v>Thiago B.S. Correa | Gregor P. Eberli | M. Grasmueck | John K. Reed | Adrienne M. S. Correa</x:v>
      </x:c>
      <x:c r="E171" s="11" t="str">
        <x:v>2012</x:v>
      </x:c>
      <x:c r="F171" s="7" t="str">
        <x:v>Marine Geology</x:v>
      </x:c>
      <x:c r="G171" s="7" t="str">
        <x:v>article</x:v>
      </x:c>
      <x:c r="H171" s="7" t="str">
        <x:v>10.1016/j.margeo.2012.06.008</x:v>
      </x:c>
      <x:c r="I171" s="7" t="str">
        <x:v>https://doi.org/10.1016/j.margeo.2012.06.008</x:v>
      </x:c>
      <x:c r="J171" s="7" t="str">
        <x:v>Cold-water coral ridges with waveform morphology are commonly observed in mound surfaces in the Northeast Atlantic Ocean and interpreted as sediment waves overgrown by corals. This work documents the first cold-water coral ridges that are waveform but lack sand dune cores. These coral ridges are situated at the base of the Miami Terrace in the Straits of Florida (depths of 630 to 870 m). They are entirely biogenic in origin and are unrelated to antecedent topography. Five lines of evidence, based on 27 km(2) of high-resolution geophysical, oceanographic, and ground-truthing data, support this interpretation. First, the waveform coral ridges are aligned perpendicular to a southward flowing bottom current and juxtaposed to an active sand dune field devoid of corals. Both the coral ridges and sand dunes are asymmetric in profile with respect to the current. However, the ridges have their steep sides facing the current, whereas the dunes exhibit a steep leeside. Second, the coral ridge matrix consists of very fine sand to mud particles with no bedload sand transport on the ridge flanks or troughs. In contrast, active sand ripples superimpose the juxtaposed sand dunes indicating that coarse sand is transported via traction in this domain. Third, bedload sand transport occurs in linear streaks at the shallowest part of the surveyed area. These streaks orthogonally crosscut some coral ridges, but coral colonies are not aligned along these streaks. Instead, the bedload sand smothers the coral colonies and thereby segments the ridges. Fourth, the sand dune and coral ridge acoustic responses are different. Below the dunes, there is no sub-bottom reflection due to energy attenuation. In contrast, a continuous reflection below the coral ridges proves the absence of attenuating sand cores. Fifth, this continuous sub-bottom reflection is not correlated with the coral ridge topography, indicating that antecedent topography does not control the waveform morphology and spatial distribution of the ridges. The differences in depositional profiles, sediment dynamics and features, as well as acoustic facies between the coral ridges and the juxtaposed dunes show that the coral ridges are entirely bioconstnictional and not a veneer of corals covering paleo-sand dunes. This field of biogenic ridges at the Miami Terrace and the distribution of sand streaks as well as active sand dunes provide new insights how the lateral variability of current velocities and sediment transport conditions control the morphology, distribution and genesis of cold-water coral features. (C) 2012 Elsevier B.V. All rights reserved.</x:v>
      </x:c>
      <x:c r="K171" s="11" t="str">
        <x:v>NO</x:v>
      </x:c>
      <x:c r="L171" s="7" t="str">
        <x:v>NOT_CONFIRMED</x:v>
      </x:c>
      <x:c r="M171" s="7" t="str"/>
      <x:c r="N171" s="7" t="str">
        <x:v>VERIFIED_DOI_DOCUMENT</x:v>
      </x:c>
      <x:c r="O171" s="7" t="str">
        <x:v>B01_DEEP_COLD_SEDIMENT_EVIDENCE</x:v>
      </x:c>
      <x:c r="P171" s="11" t="str">
        <x:v>HIGH</x:v>
      </x:c>
      <x:c r="Q171" s="7" t="str">
        <x:v>Cold-water corals (species not specified) forming biogenic ridges at 630-870 m depth in the Straits of Florida.</x:v>
      </x:c>
      <x:c r="R171" s="7" t="str">
        <x:v>Bedload sand transport, sand smothering, sediment dynamics under a unidirectional bottom current; sediment particles include very fine sand to mud.</x:v>
      </x:c>
      <x:c r="S171" s="7" t="str">
        <x:v>Bedload sand smothers coral colonies and segments ridges; coral ridges are entirely biogenic and their morphology and distribution are controlled by sediment transport conditions.</x:v>
      </x:c>
      <x:c r="T171" s="7" t="str">
        <x:v>B01: deep-sea cold-water coral study with explicit sediment pathway (smothering by bedload sand) and biological/ecological impact on coral colonies and ridge morphology.</x:v>
      </x:c>
      <x:c r="U171" s="7" t="str">
        <x:v>This article directly examines cold-water coral ridges in a deep-sea setting and demonstrates how sediment transport (active sand dunes and bedload streaks) smothers coral colonies and segments ridge morphology. The sediment pathway is explicit and the response includes both colony smothering and larger-scale geomorphic effects, meeting B01's requirement for biological, ecological, or impact evidence. The study is not purely geological because it links sediment dynamics to coral colony condition and ridge genesis. The closest alternative is exclusion as physical sediment transport, but the clear organism-level smothering evidence makes inclusion appropriate.</x:v>
      </x:c>
      <x:c r="V171" s="7" t="str">
        <x:v>ALL_VERIFIED_CENTRAL_PEER_REVIEWED</x:v>
      </x:c>
      <x:c r="W171" s="7" t="str">
        <x:v>TBV1-0101</x:v>
      </x:c>
    </x:row>
    <x:row r="172" ht="42" customHeight="1">
      <x:c r="A172" s="17" t="str">
        <x:v>B</x:v>
      </x:c>
      <x:c r="B172" s="7" t="str">
        <x:v>GLV4-845AF3F92AC3</x:v>
      </x:c>
      <x:c r="C172" s="7" t="str">
        <x:v>Gulf of Mexico OCS Oil and Gas Lease Sales: 2017-2022</x:v>
      </x:c>
      <x:c r="D172" s="7" t="str"/>
      <x:c r="E172" s="11" t="str">
        <x:v>2017</x:v>
      </x:c>
      <x:c r="F172" s="7" t="str">
        <x:v>boem.gov</x:v>
      </x:c>
      <x:c r="G172" s="7" t="str">
        <x:v>report</x:v>
      </x:c>
      <x:c r="H172" s="7" t="str"/>
      <x:c r="I172" s="7" t="str">
        <x:v>https://www.boem.gov/sites/default/files/environmental-stewardship/Environmental-Assessment/NEPA/BOEM-EIS-2017-009-v2.pdf</x:v>
      </x:c>
      <x:c r="J172" s="7" t="str">
        <x:v>was the creation of an environmental priority index that rates the sensitivity of the various topographic features (Rezak and Bright, 1981a). In order of decreasing sensitivity, the following classification was used: (1) Shelf-edge, carbonate banks possessing clear-water coral reefs and Algal-Sponge Zones, transitional assemblages approximating the Antipatharian Zone and Nepheloid Zone (surrounding depths of 276-656 ft [84-200 m], crests 49-246 ft [15-75 m]). Description of the Affected Environment and Impact Analysis 4-171 (2) Midshelf, Tertiary-outcrop banks bearing clear-water, Millepora-Sp</x:v>
      </x:c>
      <x:c r="K172" s="11" t="str">
        <x:v>YES</x:v>
      </x:c>
      <x:c r="L172" s="7" t="str">
        <x:v>PUBLIC_FULL_DOCUMENT_LOCATION</x:v>
      </x:c>
      <x:c r="M172" s="7" t="str">
        <x:v>https://www.boem.gov/sites/default/files/environmental-stewardship/Environmental-Assessment/NEPA/BOEM-EIS-2017-009-v2.pdf</x:v>
      </x:c>
      <x:c r="N172" s="7" t="str">
        <x:v>VERIFIED_DIRECT_DOCUMENT_URL</x:v>
      </x:c>
      <x:c r="O172" s="7" t="str">
        <x:v>B02_DEEP_COLD_REVIEW_ASSESSMENT</x:v>
      </x:c>
      <x:c r="P172" s="11" t="str">
        <x:v>MEDIUM</x:v>
      </x:c>
      <x:c r="Q172" s="7" t="str">
        <x:v>Deep-sea/cold-water corals and sponges, including coral reefs, Algal-Sponge Zones, Antipatharian Zone, and Nepheloid Zone communities, are referenced as sensitive topographic features in the Gulf of Mexico.</x:v>
      </x:c>
      <x:c r="R172" s="7" t="str">
        <x:v>Oil and gas lease sales and associated OCS activities may involve sediment disturbance, turbidity, drilling, and deposition pathways; the Nepheloid Zone explicitly indicates turbid bottom-water conditions.</x:v>
      </x:c>
      <x:c r="S172" s="7" t="str">
        <x:v>The document is a regulatory impact assessment that rates environmental sensitivity of coral and sponge habitats, providing a basis for evaluating effects, exposure, and mitigation.</x:v>
      </x:c>
      <x:c r="T172" s="7" t="str">
        <x:v>Substantive government environmental assessment with a direct focus on potential impacts to deep-sea corals and sponges from OCS oil and gas activities, including sediment-related pathways, relevant for effects and mitigation.</x:v>
      </x:c>
      <x:c r="U172" s="7" t="str">
        <x:v>This BOEM environmental assessment for Gulf of Mexico OCS oil and gas lease sales is a substantive regulatory document addressing environmental impacts on sensitive coral and sponge habitats. The snippet explicitly references an environmental priority index ranking shelf-edge carbonate banks with coral reefs and sponge zones, plus the Nepheloid Zone, an indicator of turbidity/sediment processes. This qualifies as a deep/cold-water coral or sponge regulatory assessment with sediment-related impact potential under B02. Although the snippet is limited, the document type and issuer strongly indicate a comprehensive assessment. Chosen over CHAIN_ONLY because it is an assessment document with direct content, not merely a reference source. Not excluded because it meets the broader Tier B review/assessment criteria, and access status does not affect eligibility.</x:v>
      </x:c>
      <x:c r="V172" s="7" t="str">
        <x:v>ALL_VERIFIED_NON_TROPICAL_TIER_B_INCLUSIONS</x:v>
      </x:c>
      <x:c r="W172" s="7" t="str">
        <x:v>TBV1-0743</x:v>
      </x:c>
    </x:row>
    <x:row r="173" ht="42" customHeight="1">
      <x:c r="A173" s="17" t="str">
        <x:v>B</x:v>
      </x:c>
      <x:c r="B173" s="7" t="str">
        <x:v>CWC-7ADF72F6B985</x:v>
      </x:c>
      <x:c r="C173" s="7" t="str">
        <x:v>Happy relationships between marine sponges and sediments – a review and some observations from Australia</x:v>
      </x:c>
      <x:c r="D173" s="7" t="str">
        <x:v>Christine H L Schönberg</x:v>
      </x:c>
      <x:c r="E173" s="11" t="str">
        <x:v>2015</x:v>
      </x:c>
      <x:c r="F173" s="7" t="str">
        <x:v>Journal of the Marine Biological Association of the United Kingdom</x:v>
      </x:c>
      <x:c r="G173" s="7" t="str">
        <x:v>article</x:v>
      </x:c>
      <x:c r="H173" s="7" t="str">
        <x:v>10.1017/s0025315415001411</x:v>
      </x:c>
      <x:c r="I173" s="7" t="str">
        <x:v>https://doi.org/10.1017/s0025315415001411</x:v>
      </x:c>
      <x:c r="J173" s="7" t="str">
        <x:v>Being sessile filter feeders, sponges may be disadvantaged by sediments in many ways, e.g. through clogging and burial. However, in order to correctly recognize negative effects of sediments in the field, natural relationships of sponge taxa adapted to a life with sediments need to be understood. The present publication reviews available literature and provides observations on natural and beneficial interactions of sponges with sediments, distinguishing several strategies: (1) Saving energy through sediment incorporation, reducing or replacing spicule production commonly occurs in keratose, verongimorph, tethyid and poecilosclerid sponges, which often received scientific names referring to sediments. (2) Forming sediment crusts externally or embedded in surface tissues reinforces outer layers, provides shade, and for external crusts camouflage and shelter from spongivory and desiccation. External crusts often occur in the tethyids and axinellids, while surface armour is most common in keratose sponges. (3) Anchoring in soft sediments provides a selective advantage for space colonization. This is mainly achieved in the hexactinellid, polymastiid and spirophorine sponges by using spicules (predominantly in deeper water), commonly in endopsammic sponges by rootlets, basal agglutination and basal incorporation of particles, and in various groups by attachment to buried materials (shallow water). (4) Living at least partially embedded in sediments (psammobiosis) appears to be best developed in Oceanapia spp. and bioeroding sponges, generates shelter from various external conditions and reduces the risk of spongivory. Typical morphological characters of sediment-adapted sponges are thus sediment skeletons and surface crusts (reinforcement), stalks and fistules (elevation above sediments), spicule tufts and root-systems (anchoring).</x:v>
      </x:c>
      <x:c r="K173" s="11" t="str">
        <x:v>YES</x:v>
      </x:c>
      <x:c r="L173" s="7" t="str">
        <x:v>FROZEN_PUBLIC_FULL_TEXT_LOCATION</x:v>
      </x:c>
      <x:c r="M173" s="7" t="str">
        <x:v>https://www.cambridge.org/core/services/aop-cambridge-core/content/view/A8E927A56D5F7C0D16D6BF1B9DC4AE50/S0025315415001411a.pdf/div-class-title-happy-relationships-between-marine-sponges-and-sediments-a-review-and-some-observations-from-australia-div.pdf</x:v>
      </x:c>
      <x:c r="N173" s="7" t="str">
        <x:v>VERIFIED_DOI_DOCUMENT</x:v>
      </x:c>
      <x:c r="O173" s="7" t="str">
        <x:v>B05_BROAD_SYNTHESIS_WITH_TARGET_EVIDENCE</x:v>
      </x:c>
      <x:c r="P173" s="11" t="str">
        <x:v>HIGH</x:v>
      </x:c>
      <x:c r="Q173" s="7" t="str">
        <x:v>Sponges, including keratose, verongimorph, tethyid, poecilosclerid, hexactinellid, polymastiid, spirophorine, and bioeroding taxa.</x:v>
      </x:c>
      <x:c r="R173" s="7" t="str">
        <x:v>Sediments, including clogging, burial, sediment incorporation, surface crusts, anchoring in soft sediments, and psammobiosis.</x:v>
      </x:c>
      <x:c r="S173" s="7" t="str">
        <x:v>Review of natural and beneficial sponge-sediment interactions, also noting negative effects; synthesizes strategies such as sediment incorporation, crust formation, anchoring, and partial burial.</x:v>
      </x:c>
      <x:c r="T173" s="7" t="str">
        <x:v>B05_BROAD_SYNTHESIS_WITH_TARGET_EVIDENCE: A broad synthesis/assessment on sponge-sediment relationships that reports sponge-specific evidence relevant to sediment effects and adaptation.</x:v>
      </x:c>
      <x:c r="U173" s="7" t="str">
        <x:v>This is a substantive peer-reviewed review article focused explicitly on marine sponges and sediments. It covers both negative effects (clogging, burial) and natural beneficial interactions, providing sponge-specific evidence on sediment exposure and adaptive responses. The document is a synthesis/review, which fits B05 as a broad sediment-effects synthesis with target evidence on sponges. It does not require deep/cold focus (so not B02). It is not a tropical direct study (B04) nor a non-tropical direct mechanism study (B03). The inclusion is warranted because it directly addresses sediment effects on sponges and informs understanding of exposure, adaptation, and potential impacts.</x:v>
      </x:c>
      <x:c r="V173" s="7" t="str">
        <x:v>ALL_VERIFIED_NON_TROPICAL_TIER_B_INCLUSIONS</x:v>
      </x:c>
      <x:c r="W173" s="7" t="str">
        <x:v>TBV1-1446</x:v>
      </x:c>
    </x:row>
    <x:row r="174" ht="42" customHeight="1">
      <x:c r="A174" s="17" t="str">
        <x:v>B</x:v>
      </x:c>
      <x:c r="B174" s="7" t="str">
        <x:v>CWC-B62F6351100D</x:v>
      </x:c>
      <x:c r="C174" s="7" t="str">
        <x:v>Harmful routines? Uncertainty in science and conflicting views on routine petroleum operations in Norway</x:v>
      </x:c>
      <x:c r="D174" s="7" t="str">
        <x:v>Anne Blanchard | Kjellrun Hiis Hauge | Gisle Andersen | Jan Helge Fosså | Bjørn Einar Grøsvik | Nils Olav Handegard | Matthias Kaiser | Sonnich Meier | Erik Olsen | Frode B. Vikebø</x:v>
      </x:c>
      <x:c r="E174" s="11" t="str">
        <x:v>2013</x:v>
      </x:c>
      <x:c r="F174" s="7" t="str">
        <x:v>Marine Policy</x:v>
      </x:c>
      <x:c r="G174" s="7" t="str">
        <x:v>article</x:v>
      </x:c>
      <x:c r="H174" s="7" t="str">
        <x:v>10.1016/j.marpol.2013.07.001</x:v>
      </x:c>
      <x:c r="I174" s="7" t="str">
        <x:v>https://doi.org/10.1016/j.marpol.2013.07.001</x:v>
      </x:c>
      <x:c r="J174" s="7" t="str">
        <x:v>Offshore petroleum activities are the focus of highly politicised debates globally. Typically, public debate is sparked by catastrophic events, such as the 2010 oil spill in the Gulf of Mexico, and decision-making processes fuelled by the assessment of 'worst-case scenarios'. However, everyday 'routine' petroleum operations also impact the marine ecosystems and adjoining socio-economic sectors, but the extent and severity of the impacts are uncertain. This paper takes as its point of departure routine operations and their surrounding uncertainties. Particularly, it focuses on the debates of whether to extend routine petroleum operations in vulnerable and valuable parts of Norway, such as the Lofoten area and the Sula Ridge. These conflicts draw on important and for some, epistemological uncertainties that surround the impacts of routine operations. The paper argues that it is necessary to first highlight these uncertainties, rather than marginalise them, and second, recognise that uncertainties are not simply a scientific challenge, but can be a powerful political tool. This paper unpacks and explores uncertainties associated with three phases of routine operations, that are used to steer political actions: (i) the impacts of seismic surveys on fish and marine mammals; (ii) the impacts of drilling mud and drill cuttings on benthic communities such as deep-sea coral reefs; and (iii) the impacts of produced water on the marine environment. The paper discusses the importance of transparency in addressing these uncertainties, and emphasises the need to implement the precautionary principle in a more participatory way. It thus proposes participatory exercises in order to allow the recognition of the epistemological nature of uncertainties. (C) 2013 Elsevier Ltd. All rights reserved.</x:v>
      </x:c>
      <x:c r="K174" s="11" t="str">
        <x:v>NO</x:v>
      </x:c>
      <x:c r="L174" s="7" t="str">
        <x:v>NOT_CONFIRMED</x:v>
      </x:c>
      <x:c r="M174" s="7" t="str"/>
      <x:c r="N174" s="7" t="str">
        <x:v>VERIFIED_DOI_DOCUMENT</x:v>
      </x:c>
      <x:c r="O174" s="7" t="str">
        <x:v>B02_DEEP_COLD_REVIEW_ASSESSMENT</x:v>
      </x:c>
      <x:c r="P174" s="11" t="str">
        <x:v>HIGH</x:v>
      </x:c>
      <x:c r="Q174" s="7" t="str">
        <x:v>Deep-sea coral reefs and benthic communities in Norwegian waters, including the Sula Ridge area.</x:v>
      </x:c>
      <x:c r="R174" s="7" t="str">
        <x:v>Drilling mud and drill cuttings from routine petroleum operations, a sediment/deposition pathway.</x:v>
      </x:c>
      <x:c r="S174" s="7" t="str">
        <x:v>Assesses uncertainties in the impacts of routine operations on benthic communities, informing precautionary approaches and policy decisions.</x:v>
      </x:c>
      <x:c r="T174" s="7" t="str">
        <x:v>The article is a substantive policy assessment focusing on the impacts of drilling mud and drill cuttings on deep-sea coral reefs, meeting the B02 criterion for a deep/cold review or assessment with direct sediment-impact relevance.</x:v>
      </x:c>
      <x:c r="U174" s="7" t="str">
        <x:v>This Marine Policy article directly addresses the impacts of routine petroleum operations, specifically drilling mud and drill cuttings, on deep-sea coral reefs. It synthesizes and assesses uncertainties regarding these sediment-related impacts in Norwegian waters, including the Sula Ridge and Lofoten areas. This qualifies as a substantive deep/cold review or assessment under B02 because it provides a policy-relevant evaluation of sediment exposure and potential ecological consequences, despite not presenting new experimental data. The closest alternative would be B05 if it were a broader synthesis, but the focus is clearly on deep-sea corals and drilling-related sediment, making B02 more specific. Exclusions do not apply; the organism is explicit, the sediment pathway is central, and the response/assessment value is the uncertainty analysis that informs effects and mitigation.</x:v>
      </x:c>
      <x:c r="V174" s="7" t="str">
        <x:v>ALL_VERIFIED_CENTRAL_PEER_REVIEWED</x:v>
      </x:c>
      <x:c r="W174" s="7" t="str">
        <x:v>TBV1-0119</x:v>
      </x:c>
    </x:row>
    <x:row r="175" ht="42" customHeight="1">
      <x:c r="A175" s="17" t="str">
        <x:v>B</x:v>
      </x:c>
      <x:c r="B175" s="7" t="str">
        <x:v>CWC-73DA8E953BEA</x:v>
      </x:c>
      <x:c r="C175" s="7" t="str">
        <x:v>Impact of diagenesis on carbonate mound formation</x:v>
      </x:c>
      <x:c r="D175" s="7" t="str">
        <x:v>Cees van der Land</x:v>
      </x:c>
      <x:c r="E175" s="11" t="str">
        <x:v>2011</x:v>
      </x:c>
      <x:c r="F175" s="7" t="str">
        <x:v>Flanders Marine Institute (Flanders Marine Institute)</x:v>
      </x:c>
      <x:c r="G175" s="7" t="str">
        <x:v>dissertation</x:v>
      </x:c>
      <x:c r="H175" s="7" t="str"/>
      <x:c r="I175" s="7" t="str">
        <x:v>http://www.vliz.be/imisdocs/publications/84/263484.pdf</x:v>
      </x:c>
      <x:c r="J175" s="7" t="str">
        <x:v>This thesis is devoted to define the parameters influencing cold-water coral growth and therefore carbonate mound development with a focus on the impact of diagenesis on mound sediments. The first part of this thesis (Chapters 2 to 4) discusses the distributionand growth history of carbonate mounds, the sedimentary processes leading to sediment accumulation at mound sites and the primary sediment composition of cold-water coral carbonate mounds along the Irish margin. The second part of the thesis (Chapters 5 to 7) elaborates on the post-depositional processes (diagenesis) affecting mound sediments, the timing of these diagenetic processes and their impact on carbonate mound development.Piston cores obtained from mound summits were studied to determine paleo-environmental conditions influencing mound development. Component analysis, thin section petrography and X-ray fluorescence scanning revealed the impact of diagenesisin the form of dissolution and cementation of the coral framework. U-series dating of coral skeletons and stable isotope measurements on foraminifera provided us with a chrono stratigraphic framework for carbonate mound build-up. Coral ages showed that large hiatuses are present in the mounds, which can be linked to multiple phases of erosion or non-deposition in the mound history.In Chapter 2 the morphology and sedimentology of carbonate mounds from two mound provinces at the southeast and southwest margin of the Rockall Trough (RT)(NE Atlantic Ocean) are investigated. Cold-wat er coral mounds on both margins have a strongly different morphology. Single, isolated mounds occur on the SE RT marginand are mainly found on the upper slope between 650 and 900 m water depth, while large mound clusters are found on the SW RT margin in water depths between 600 and 1000 m, in a narrow zone almost parallel to the slope. Sedimentation rates on themounds are higher than on the surrounding seabed as a result of baffling of biogenic carbonate debris and sediment particles by the coral framework. The three-dimensional coral framework and the presence of extensive hardgrounds and firmgroundsare considered to be responsible for the stability of the relatively steep slopes of the mounds. High current velocities in the intra-mound areas result in local non-sedimentationand erosion, as is shown by the presence of IRD lag deposits on the seabed and moats around some of the mounds. The morphology and sedimentology of cold-water coral (mainly Lophelia pertusa and Madrepora oculata) covered mounds on the southernRT margins is discussed and a model is presented describing the development of these mounds.Chapter 3 focuses on U-series dating of constructional cold-water corals. Dating of the coral skeleton of Lophelia pertusa and Madrepora oculata from mounds along the RT margin and in the Porcupine Seabight reveal that the Holocene (past 11 kyr) wasa period generally favourable for coral mound development. Vertical mound growth rates are directly linked to the presence or absence of a dense coral cover at the mound summits. During times of reduced coral growth or the absence of a coral framework,mound growth rates are by far smaller. Periods favourable for coral growth on the SW RT and in the Porcupine Seabight are related to overall climatic warm phases and coralgrowth is largely reduced or even absent on mounds during cold phases such as glacial periods.Chapter 4 describes the accumulation of mainly carbonate sediment on a mound at the SW RT margin. Photo and video surveys at this station show the presence of living coral colonies on top of a thick layer of coral debris, which becomes slowly abraded andbio-eroded. Component analysis of a piston core from a mound summit shows that the coral framework is mainly filled with sediment composed of phytodetritus and skeletal parts of fauna living at the mounds. The mound sediment record displays analternation of skeletal and cement dominated intervals. Dating of coral skeletons and the oxygen stable isotope signature of planktonic and benthic foraminifera indicate a continuous sedimentation pattern since the Younger Dryas. The older part of the core, with mainly intermediate values of stable isotopes is dominated by the presence of large hiatuses, of up to 200,000 yr. Hiatuses in the core possibly are linked to climatechange, which had a large effect on the ocean circulation patterns, thereby influencing the local hydrodynamic regime, food supply and sedimentation patterns around thecarbonate mounds. This affected coral growth and therefore carbonate mound development.In Chapter 5 piston cores obtained at three mound crests reveal the complex internal structure of the mound build up, with alternating unlithified coral-dominatedintervals and lithified intervals. Coral ages obtained by U-series dating show the presence of several hiatuses in mound build-up. Down core X-ray fluorescence scanning(XRF), computed tomography scan images and petrographic observations indicate different degrees of diagenetic alteration. Aragonitic coral material is absent or onlypresent as mouldic porosity in the lithified intervals and coccoliths display widespread calcite overgrowths. The dissolution of the unstable aragonitic coral skeletons is linkedto organic matter oxidation and the subsequent lowering of the saturation state of the carbonate system. A model is presented describing the sedimentary and diagenetic processes leading to the formation of lithified intervals.Chapter 6 focuses on the enrichment of redox-sensitive elements and the dissolution of primary magnetic ferric iron minerals in the depth interval below lithification levels in carbonate mound sediments. By combining the magnetic susceptibility withthe XRF signal of Fe and Ti specifically, intervals with susceptibility variations related to the conversion of strongly magnetic into weakly magnetic iron species were defined.In all three studied cores a succession is recognised with a lithified interval with aragonite dissolution and low-Mg calcite precipitates that is underlain by an interval of magnetite dissolution and of iron and manganese enrichment. For the most recent lithified interval it is demonstrated that initial lithification occurred before an erosional regime was in place, most likely near the end of an interglacial or at the start ofglacial periods.In Chapter 7 the carbonate mound development and sediment composition of the mounds at the SW RT margin and the Galway Mound in the Porcupine Seabight are compared. Differences in sediment composition between these mound provinces arerelated to the local environmental conditions. Mound accumulation rates at the Galway Mound are higher due to a higher influx of off-mound derived fine grained noncarbonate sediments. At both locations mound growth has been continuous for the last 11 kyr, before this period several hiatuses exist in the mound record. The most recent hiatus can be traced across multiple mounds and mound provinces at the Irish margin. At the SW RT margin these are associated with post-depositional aragonite dissolution in and lithification of certain intervals, while at Galway Mound no lithification occurs. This study shows that the influx and composition of material transported to carbonate mounds have a direct impact on the carbonate mound accumulationrate and on post-depositional processes.Chapter 8 (synthesis) describes and discusses the impact of diagenesis on carbonate mound formation. It is debated whether lithified layers play a crucial role in carbonate mound development/vertical mound growth by providing a stable colonisation surface for cold-water corals and by stabilising the steep mound flanks. The underlying processes leading to post-depositional modifications are discussed, including theirlink to climate cycles. Furthermore, a compilation of coral ages at the Irish margin older than 11 kyr is shown.</x:v>
      </x:c>
      <x:c r="K175" s="11" t="str">
        <x:v>NO</x:v>
      </x:c>
      <x:c r="L175" s="7" t="str">
        <x:v>NOT_CONFIRMED</x:v>
      </x:c>
      <x:c r="M175" s="7" t="str"/>
      <x:c r="N175" s="7" t="str">
        <x:v>VERIFIED_DIRECT_DOCUMENT_URL</x:v>
      </x:c>
      <x:c r="O175" s="7" t="str">
        <x:v>B01_DEEP_COLD_SEDIMENT_EVIDENCE</x:v>
      </x:c>
      <x:c r="P175" s="11" t="str">
        <x:v>HIGH</x:v>
      </x:c>
      <x:c r="Q175" s="7" t="str">
        <x:v>Cold-water corals Lophelia pertusa and Madrepora oculata, and carbonate mound ecosystems along the Irish Atlantic margin (Rockall Trough, Porcupine Seabight).</x:v>
      </x:c>
      <x:c r="R175" s="7" t="str">
        <x:v>Explicit sediment-related pathways: sediment accumulation, deposition, erosion, non-deposition, diagenesis (dissolution and cementation of coral framework), sediment particle baffling, and climate-driven changes in sedimentation patterns.</x:v>
      </x:c>
      <x:c r="S175" s="7" t="str">
        <x:v>Coral growth and mound development rates, presence/absence of dense coral cover, mound accumulation rates, hiatuses in coral growth, post-depositional alteration of coral framework, and stability of mound slopes.</x:v>
      </x:c>
      <x:c r="T175" s="7" t="str">
        <x:v>Direct deep/cold-water coral source with explicit sediment pathway and biological/ecological or mound development evidence, meeting B01.</x:v>
      </x:c>
      <x:c r="U175" s="7" t="str">
        <x:v>This dissertation examines cold-water coral mounds (Lophelia pertusa, Madrepora oculata) along the Irish margin, explicitly addressing sedimentary processes at mound sites, sediment accumulation, erosion, non-deposition, and diagenesis. It links these sediment-related processes to coral growth, mound development, hiatuses, and responses to climate-driven hydrodynamic changes. The organism and sediment pathway are clear, and response evidence includes coral growth and mound accumulation. Therefore, it qualifies under B01. Closest alternative is B02, but direct biological/ecological evidence is present in the abstract, so B01 is preferable. EXCLUDE is inappropriate because the record is not merely geological; it integrates biological and sedimentological aspects. The abstract provides sufficient information, so needs_full_text is false.</x:v>
      </x:c>
      <x:c r="V175" s="7" t="str">
        <x:v>ALL_VERIFIED_NON_TROPICAL_TIER_B_INCLUSIONS</x:v>
      </x:c>
      <x:c r="W175" s="7" t="str">
        <x:v>TBV1-0055</x:v>
      </x:c>
    </x:row>
    <x:row r="176" ht="42" customHeight="1">
      <x:c r="A176" s="17" t="str">
        <x:v>B</x:v>
      </x:c>
      <x:c r="B176" s="7" t="str">
        <x:v>CWC-835475052BC2</x:v>
      </x:c>
      <x:c r="C176" s="7" t="str">
        <x:v>Impact of environmental gradients on juvenile coral demography across the Great Barrier Reef and Torres Strait</x:v>
      </x:c>
      <x:c r="D176" s="7" t="str">
        <x:v>Christopher Doropoulos | Mariana Álvarez‐Noriega | Katharina Fabricius | Renata Ferrari | Peter J. Mumby | Sam H. C. Noonan | Melanie Orr | Kinam Salee</x:v>
      </x:c>
      <x:c r="E176" s="11" t="str">
        <x:v>2025</x:v>
      </x:c>
      <x:c r="F176" s="7" t="str">
        <x:v>Coral Reefs</x:v>
      </x:c>
      <x:c r="G176" s="7" t="str">
        <x:v>article</x:v>
      </x:c>
      <x:c r="H176" s="7" t="str">
        <x:v>10.1007/s00338-025-02742-6</x:v>
      </x:c>
      <x:c r="I176" s="7" t="str">
        <x:v>https://doi.org/10.1007/s00338-025-02742-6</x:v>
      </x:c>
      <x:c r="J176" s="7" t="str">
        <x:v>Demographic rates of juvenile corals are critical to reef recovery, yet their variation across environmental gradients remains understudied. Over three years, we assessed juvenile coral vital rates across the Great Barrier Reef (GBR) and Torres Strait (TS), spanning 14 degrees latitude and diverse inshore to offshore environments. Environmental conditions varied, with annual temperatures ranging 24-28 degrees C, high turbidity in the southern inshore GBR, and elevated chlorophyll a in the southern offshore GBR. Despite these differences, juvenile assemblages of five common coral groups (Montipora, Acropora, Pocilloporidae, Merulinidae, and Porites) were broadly similar. Recruitment patterns varied with Acropora highest in southern offshore and central reefs, and Porites in southern offshore and northern reefs. Annual mortality rates were consistent across locations, but taxa-specific negative responses to turf height and sedimentation were observed. Net juvenile density increased by 3 m(-)2 yr(-)1, with higher gains for Acropora in southern offshore reefs (3.8 m(-)2 yr(-)1) and Porites in northern offshore reefs (3.5 m(-)2 yr(-)1). Individual survival improved with size, and temperature effects were taxon-dependent-negative for Acropora, neutral for Montipora and Pocilloporidae, and positive for Merulinidae and Porites. Temperature did not correlate with linear growth in any group, but water flow positively influenced growth in most taxa. Fast-growing Acropora and Pocilloporidae showed positive size-growth relationships, unlike slower-growing Merulinidae and Porites. These findings provide baseline demographic data across the GBR and TS, revealing both congruence and divergence with ecological theory. They offer essential input for predictive models, site-specific restoration planning, and evaluating interventions relative to natural background dynamics.</x:v>
      </x:c>
      <x:c r="K176" s="11" t="str">
        <x:v>YES</x:v>
      </x:c>
      <x:c r="L176" s="7" t="str">
        <x:v>FROZEN_PUBLIC_FULL_TEXT_LOCATION</x:v>
      </x:c>
      <x:c r="M176" s="7" t="str">
        <x:v>https://link.springer.com/content/pdf/10.1007/s00338-025-02742-6.pdf</x:v>
      </x:c>
      <x:c r="N176" s="7" t="str">
        <x:v>VERIFIED_DOI_DOCUMENT</x:v>
      </x:c>
      <x:c r="O176" s="7" t="str">
        <x:v>B04_TROPICAL_PHYSICAL_SEDIMENT_ANALOGUE</x:v>
      </x:c>
      <x:c r="P176" s="11" t="str">
        <x:v>HIGH</x:v>
      </x:c>
      <x:c r="Q176" s="7" t="str">
        <x:v>Juvenile corals of five common groups (Montipora, Acropora, Pocilloporidae, Merulinidae, Porites) on the Great Barrier Reef and Torres Strait.</x:v>
      </x:c>
      <x:c r="R176" s="7" t="str">
        <x:v>Environmental gradients including high turbidity in the southern inshore Great Barrier Reef, with explicit assessment of sedimentation effects.</x:v>
      </x:c>
      <x:c r="S176" s="7" t="str">
        <x:v>Taxa-specific negative responses to sedimentation affecting annual mortality; measures of recruitment, survival, growth, and net density changes over three years.</x:v>
      </x:c>
      <x:c r="T176" s="7" t="str">
        <x:v>Tropical coral study directly examining physical sediment exposure (sedimentation and turbidity) and reporting relevant biological responses (mortality and demographic rates), fitting B04.</x:v>
      </x:c>
      <x:c r="U176" s="7" t="str">
        <x:v>This is an empirical field study on tropical juvenile corals across multiple reefs. It explicitly evaluates environmental gradients including high turbidity and sedimentation and reports taxa-specific negative responses to sedimentation on mortality and other demographic rates. This is direct physical sediment exposure with biological response evidence, satisfying the B04 tropical physical sediment analogue criterion. It is not merely mentioning sediment; sedimentation is a measured stressor with demonstrated effects. The closest alternative would be exclusion for non-central stressor, but the abstract clearly identifies negative sedimentation responses, making inclusion appropriate.</x:v>
      </x:c>
      <x:c r="V176" s="7" t="str">
        <x:v>SPARING_TOP_25_TROPICAL_DIRECT_PHYSICAL_ANALOGUES</x:v>
      </x:c>
      <x:c r="W176" s="7" t="str">
        <x:v>TBV1-1159</x:v>
      </x:c>
    </x:row>
    <x:row r="177" ht="42" customHeight="1">
      <x:c r="A177" s="17" t="str">
        <x:v>B</x:v>
      </x:c>
      <x:c r="B177" s="7" t="str">
        <x:v>CWC-B7A3E7B4DD58</x:v>
      </x:c>
      <x:c r="C177" s="7" t="str">
        <x:v>Impact of Increased Terrigenous Sediment in Near-Shore Reef Systems</x:v>
      </x:c>
      <x:c r="D177" s="7" t="str">
        <x:v>Tyler Logie</x:v>
      </x:c>
      <x:c r="E177" s="11" t="str">
        <x:v>2020</x:v>
      </x:c>
      <x:c r="F177" s="7" t="str"/>
      <x:c r="G177" s="7" t="str">
        <x:v>article</x:v>
      </x:c>
      <x:c r="H177" s="7" t="str">
        <x:v>10.26153/tsw/12342</x:v>
      </x:c>
      <x:c r="I177" s="7" t="str">
        <x:v>https://doi.org/10.26153/tsw/12342</x:v>
      </x:c>
      <x:c r="J177" s="7" t="str">
        <x:v>Changes in the flux of terrestrial sediment into the ocean can cause marine ecosystems to suffer severe environmental stress. The physical effects of increased terrestrial erosion towards the shallow ocean can decrease light quality, increases the energy that reef builders must expend, and in extreme cases can cause burial of near-shore reefs. The influx of new terrestrial sediment can also have a notable effect on the chemistry of the ocean by increasing the flux of nutrients. This can alter the trophic state of the area, favor the expansion of algae over metazoan reef builders such as corals, and potentially cause a decrease in free oxygen available in the water column. The effects of increased terrestrial sediment flux can be seen most clearly during time intervals during which a spike in atmospheric CO2 concentration causes the global silicate weathering rate to increase. These events are commonly associated with global marine extinctions, as is the case at the Permian/Triassic boundary and during the Toarcian Ocean Anoxic Event. Isotope and trace element geochemistry can be used to reconstruct changes in the global silicate weathering rate, marine nutrient content, and fraction of terrestrial sediment in a marine setting. By combining these geochemical data with modern studies of reefs under sediment stress, the mechanisms driving reef collapses in the geologic record are better understood. This information can be applied to research attempting to predict the impact of increased sediment flux associated with climate change.</x:v>
      </x:c>
      <x:c r="K177" s="11" t="str">
        <x:v>NO</x:v>
      </x:c>
      <x:c r="L177" s="7" t="str">
        <x:v>NOT_CONFIRMED</x:v>
      </x:c>
      <x:c r="M177" s="7" t="str"/>
      <x:c r="N177" s="7" t="str">
        <x:v>VERIFIED_DOI_DOCUMENT</x:v>
      </x:c>
      <x:c r="O177" s="7" t="str">
        <x:v>B05_BROAD_SYNTHESIS_WITH_TARGET_EVIDENCE</x:v>
      </x:c>
      <x:c r="P177" s="11" t="str">
        <x:v>HIGH</x:v>
      </x:c>
      <x:c r="Q177" s="7" t="str">
        <x:v>Coral reef builders (corals) explicitly mentioned as metazoan reef builders affected by terrestrial sediment; algae expansion over corals is discussed.</x:v>
      </x:c>
      <x:c r="R177" s="7" t="str">
        <x:v>Increased terrigenous sediment flux, burial, reduced light quality, and nutrient flux changes; explicit sediment pathway.</x:v>
      </x:c>
      <x:c r="S177" s="7" t="str">
        <x:v>Decreased light quality, increased energy expenditure, reef burial, altered trophic state, algae expansion, decreased oxygen, and reef collapse mechanisms; synthesis of modern reef sediment-stress studies.</x:v>
      </x:c>
      <x:c r="T177" s="7" t="str">
        <x:v>Substantive synthesis/thesis focused on sediment impacts on near-shore reef systems, with clearly identified coral evidence and mechanistic pathways, fitting Tier B broad synthesis with target evidence.</x:v>
      </x:c>
      <x:c r="U177" s="7" t="str">
        <x:v>The abstract explicitly discusses increased terrestrial sediment effects on coral reef builders, including burial, light reduction, and energy costs, with a synthesis of modern studies. This is a substantive document (thesis/article) with a direct sediment-impact focus. It is not deep/cold (B02) nor an original experimental tropical study (B04); B05 is the best fit as a synthesis with separately identifiable coral evidence. The abstract provides sufficient detail, so full text is not needed for screening.</x:v>
      </x:c>
      <x:c r="V177" s="7" t="str">
        <x:v>ALL_VERIFIED_NON_TROPICAL_TIER_B_INCLUSIONS</x:v>
      </x:c>
      <x:c r="W177" s="7" t="str">
        <x:v>TBV1-1290</x:v>
      </x:c>
    </x:row>
    <x:row r="178" ht="42" customHeight="1">
      <x:c r="A178" s="17" t="str">
        <x:v>B</x:v>
      </x:c>
      <x:c r="B178" s="7" t="str">
        <x:v>CWC-04B3CFB894A9</x:v>
      </x:c>
      <x:c r="C178" s="7" t="str">
        <x:v>Impact of warming and suspended terrigenous sediment on the Hawaiian reef coral Montipora capitata</x:v>
      </x:c>
      <x:c r="D178" s="7" t="str">
        <x:v>Alexandra M. Good | Ashleigh M. Epps | Maile Coberly | Kuʻulei S. Rodgers | Nancy G. Prouty | Curt D. Storlazzi | Keisha D. Bahr</x:v>
      </x:c>
      <x:c r="E178" s="11" t="str">
        <x:v>2025</x:v>
      </x:c>
      <x:c r="F178" s="7" t="str">
        <x:v>Coral Reefs</x:v>
      </x:c>
      <x:c r="G178" s="7" t="str">
        <x:v>article</x:v>
      </x:c>
      <x:c r="H178" s="7" t="str">
        <x:v>10.1007/s00338-025-02752-4</x:v>
      </x:c>
      <x:c r="I178" s="7" t="str">
        <x:v>https://doi.org/10.1007/s00338-025-02752-4</x:v>
      </x:c>
      <x:c r="J178" s="7" t="str">
        <x:v>Coral reefs near high human population areas suffer from sedimentation and increased turbidity due to coastal development. However, there is limited research on how key species respond to turbidity caused by terrigenous sediment and how this response may change with increased water temperatures. This study investigated the effects of ambient and elevated turbidity (+ 26 NTU) in combination with ambient (27.1 degrees C) and elevated temperature (+ 4.1 degrees C; 31.2 degrees C) on the dominant Hawaiian reef coral Montipora capitata, collected from two K &amp; amacr;ne'ohe Bay watersheds with distinct environmental histories. Using intermittent flow respirometry, we found that acute (12 h) exposure to elevated turbidity and temperature impacted algal symbionts (Symbiodinium spp.) but not the coral host, suggesting a potential delayed host physiological response. Corals from south K &amp; amacr;ne'ohe Bay, where restricted water circulation and urbanization have degraded water quality, were more sensitive to stressors than those from the less-impacted northern sites, indicating that physiological responses vary by location and may be influenced by watershed conditions. The findings suggest that while short-term turbidity and warming impact Symbiodinium spp. immediately, prolonged exposure may lead to cascading effects on the coral host. Understanding these species-specific and location-dependent responses enhances our ability to guide restoration and conservation efforts for coral ecosystems facing both local (turbidity) and global (warming) stressors. Los arrecifes de coral cercanos a &amp; aacute;reas con alta densidad de poblaci &amp; oacute;n humana sufren de sedimentaci &amp; oacute;n y aumento de la turbidez debido al desarrollo costero. Sin embargo, existe una investigaci &amp; oacute;n limitada sobre c &amp; oacute;mo responden las especies clave a la turbidez causada por sedimentos terr &amp; iacute;genos y c &amp; oacute;mo esta respuesta puede cambiar con el aumento de la temperatura del agua. Este estudio investig &amp; oacute; los efectos de la turbidez ambiental y elevada (+26 NTU) en combinaci &amp; oacute;n con temperatura ambiental (27.1 degrees C) y elevada (+4.1 degrees C; 31.2 degrees C) en el coral dominante de los arrecifes hawaianos Montipora capitata, recolectado de dos cuencas hidrogr &amp; aacute;ficas de la Bah &amp; iacute;a de K &amp; amacr;ne'ohe con historias ambientales distintas. Usando respirometr &amp; iacute;a de flujo intermitente, encontramos que la exposici &amp; oacute;n aguda (12 h) a la turbidez y temperatura elevadas afect &amp; oacute; a los simbiontes algales (Symbiodinium spp.), pero no al hospedador coralino, lo que sugiere una posible respuesta fisiol &amp; oacute;gica retardada del hospedador. Los corales del sur de la Bah &amp; iacute;a de K &amp; amacr;ne'ohe, donde la circulaci &amp; oacute;n del agua es restringida y la urbanizaci &amp; oacute;n ha degradado la calidad del agua, fueron m &amp; aacute;s sensibles a los factores de estr &amp; eacute;s que los de los sitios menos impactados del norte, lo que indica que las respuestas fisiol &amp; oacute;gicas var &amp; iacute;an seg &amp; uacute;n la ubicaci &amp; oacute;n y pueden estar influenciadas por las condiciones de la cuenca. Los resultados sugieren que, si bien la turbidez y el calentamiento a corto plazo afectan de inmediato a Symbiodinium spp., una exposici &amp; oacute;n prolongada puede provocar efectos en cascada sobre el hospedador coralino. Comprender estas respuestas espec &amp; iacute;ficas por especie y dependientes de la ubicaci &amp; oacute;n mejora nuestra capacidad para orientar los esfuerzos de restauraci &amp; oacute;n y conservaci &amp; oacute;n de los ecosistemas coralinos que enfrentan tanto factores de estr &amp; eacute;s locales (turbidez) como globales (calentamiento).</x:v>
      </x:c>
      <x:c r="K178" s="11" t="str">
        <x:v>YES</x:v>
      </x:c>
      <x:c r="L178" s="7" t="str">
        <x:v>FROZEN_PUBLIC_FULL_TEXT_LOCATION</x:v>
      </x:c>
      <x:c r="M178" s="7" t="str">
        <x:v>https://link.springer.com/content/pdf/10.1007/s00338-025-02752-4.pdf</x:v>
      </x:c>
      <x:c r="N178" s="7" t="str">
        <x:v>VERIFIED_DOI_DOCUMENT</x:v>
      </x:c>
      <x:c r="O178" s="7" t="str">
        <x:v>B04_TROPICAL_PHYSICAL_SEDIMENT_ANALOGUE</x:v>
      </x:c>
      <x:c r="P178" s="11" t="str">
        <x:v>HIGH</x:v>
      </x:c>
      <x:c r="Q178" s="7" t="str">
        <x:v>Montipora capitata (Hawaiian reef coral) and its algal symbionts (Symbiodinium spp.).</x:v>
      </x:c>
      <x:c r="R178" s="7" t="str">
        <x:v>Suspended terrigenous sediment/turbidity (+26 NTU) combined with warming (+4.1 °C); explicitly linked to sedimentation and coastal development.</x:v>
      </x:c>
      <x:c r="S178" s="7" t="str">
        <x:v>Impacts on algal symbionts (immediate), potential delayed host physiological response, and location-dependent sensitivity (south Kāneʻohe Bay corals more sensitive).</x:v>
      </x:c>
      <x:c r="T178" s="7" t="str">
        <x:v>This is a tropical coral study directly experimentally testing physical sediment exposure (turbidity) and reporting a biological response (symbiont physiology, host sensitivity). It qualifies under B04 as a broader tropical analogue than Tier A, even though host response was not yet significant after acute 12-h exposure.</x:v>
      </x:c>
      <x:c r="U178" s="7" t="str">
        <x:v>The record clearly meets Tier B inclusion: it is a substantive article (not a discovery webpage) focused on a coral species, experimentally exposing it to elevated turbidity from terrigenous sediment, and measuring biological responses (symbiont effects, location-specific coral sensitivity). This is exactly B04, a tropical physical sediment analogue with direct exposure and relevant response data. It is not merely mentioning sediment; the experimental design and results center on turbidity. It is not eligible for CHAIN_ONLY because it contains direct evidence. Exclusions do not apply: corals are the target, sediment pathway is explicit, and response/assessment is present. Confidence is HIGH from the detailed abstract.</x:v>
      </x:c>
      <x:c r="V178" s="7" t="str">
        <x:v>SPARING_TOP_25_TROPICAL_DIRECT_PHYSICAL_ANALOGUES</x:v>
      </x:c>
      <x:c r="W178" s="7" t="str">
        <x:v>TBV1-1033</x:v>
      </x:c>
    </x:row>
    <x:row r="179" ht="42" customHeight="1">
      <x:c r="A179" s="17" t="str">
        <x:v>B</x:v>
      </x:c>
      <x:c r="B179" s="7" t="str">
        <x:v>CWC-01AC06FE96E2</x:v>
      </x:c>
      <x:c r="C179" s="7" t="str">
        <x:v>Impacts of sedimentation on coral health and reef ecosystems: A comprehensive review</x:v>
      </x:c>
      <x:c r="D179" s="7" t="str">
        <x:v>Md. Simul Bhuyan | Maroua Jenzri | Diponkor Adikari</x:v>
      </x:c>
      <x:c r="E179" s="11" t="str">
        <x:v>2025</x:v>
      </x:c>
      <x:c r="F179" s="7" t="str">
        <x:v>Marine Pollution Bulletin</x:v>
      </x:c>
      <x:c r="G179" s="7" t="str">
        <x:v>article</x:v>
      </x:c>
      <x:c r="H179" s="7" t="str">
        <x:v>10.1016/j.marpolbul.2025.118480</x:v>
      </x:c>
      <x:c r="I179" s="7" t="str">
        <x:v>https://doi.org/10.1016/j.marpolbul.2025.118480</x:v>
      </x:c>
      <x:c r="J179" s="7" t="str">
        <x:v>Sedimentation is a major yet often underestimated driver of coral reef degradation, affecting coral physiology, reproduction, and ecosystem structure. This review synthesizes findings from 252 peer-reviewed studies (1977-2025) identified through systematic searches using PRISMA guidelines. A bibliometric analysis conducted with VOSviewer (v1.6.17) revealed ten co-authorship clusters, highlighting influential contributors such as Erftemeijer, Paul L.A., and Jones, Ross. The review examines sediment delivery pathways-terrestrial runoff, dredging, and biogenic sources-and their impacts across coral life stages. Dominant affected species include Acropora (27 %), Montipora (18 %), and Porites (16 %), which suffer from reduced photosynthesis, smothering, decreased recruitment, and elevated mortality. Fine sediments impair light penetration, carry toxins, and damage coral tissues. Coral recruits show heightened sensitivity, with sedimentation significantly lowering fertilization, settlement, and survival rates. Although some species display tolerance mechanisms, these are inadequate under chronic stress. The study underscores the urgency for integrated watershed management and adaptive mitigation to bolster coral resilience amid rising anthropogenic and climate stressors.</x:v>
      </x:c>
      <x:c r="K179" s="11" t="str">
        <x:v>NO</x:v>
      </x:c>
      <x:c r="L179" s="7" t="str">
        <x:v>NOT_CONFIRMED</x:v>
      </x:c>
      <x:c r="M179" s="7" t="str"/>
      <x:c r="N179" s="7" t="str">
        <x:v>VERIFIED_DOI_DOCUMENT</x:v>
      </x:c>
      <x:c r="O179" s="7" t="str">
        <x:v>B05_BROAD_SYNTHESIS_WITH_TARGET_EVIDENCE</x:v>
      </x:c>
      <x:c r="P179" s="11" t="str">
        <x:v>HIGH</x:v>
      </x:c>
      <x:c r="Q179" s="7" t="str">
        <x:v>Corals, with prominent genera Acropora (27%), Montipora (18%), Porites (16%)</x:v>
      </x:c>
      <x:c r="R179" s="7" t="str">
        <x:v>Sedimentation from terrestrial runoff, dredging, and biogenic sources; fine sediments impair light penetration and carry toxins</x:v>
      </x:c>
      <x:c r="S179" s="7" t="str">
        <x:v>Reduced photosynthesis, smothering, decreased recruitment, elevated mortality, lower fertilization and settlement in recruits, tolerance mechanisms inadequate under chronic stress</x:v>
      </x:c>
      <x:c r="T179" s="7" t="str">
        <x:v>A comprehensive sediment-effects review that separately reports coral evidence relevant to the review, including physiological, reproductive, and ecosystem impacts.</x:v>
      </x:c>
      <x:c r="U179" s="7" t="str">
        <x:v>This review directly synthesizes evidence on sedimentation impacts on coral health and reef ecosystems, with explicit reporting of affected species, biological responses, and ecosystem consequences. It qualifies as a broad sediment-effects synthesis with target coral evidence (B05). B04 is less appropriate because this is a review, not a direct measurement/experiment. B01/B03 do not apply as the focus is tropical corals rather than deep/cold-water taxa.</x:v>
      </x:c>
      <x:c r="V179" s="7" t="str">
        <x:v>ALL_VERIFIED_NON_TROPICAL_TIER_B_INCLUSIONS</x:v>
      </x:c>
      <x:c r="W179" s="7" t="str">
        <x:v>TBV1-1072</x:v>
      </x:c>
    </x:row>
    <x:row r="180" ht="42" customHeight="1">
      <x:c r="A180" s="17" t="str">
        <x:v>B</x:v>
      </x:c>
      <x:c r="B180" s="7" t="str">
        <x:v>CWC-4FA30D292001</x:v>
      </x:c>
      <x:c r="C180" s="7" t="str">
        <x:v>The Importance of Ecological Accommodation Space and Sediment Supply for Cold-Water Coral Mound Formation, a Case Study From the Western Mediterranean Sea</x:v>
      </x:c>
      <x:c r="D180" s="7" t="str">
        <x:v>Haozhuang Wang | Jürgen Titschack | Claudia Wienberg | Chelsea A. Korpanty | Dierk Hebbeln</x:v>
      </x:c>
      <x:c r="E180" s="11" t="str">
        <x:v>2021</x:v>
      </x:c>
      <x:c r="F180" s="7" t="str">
        <x:v>Frontiers in Marine Science</x:v>
      </x:c>
      <x:c r="G180" s="7" t="str">
        <x:v>article</x:v>
      </x:c>
      <x:c r="H180" s="7" t="str">
        <x:v>10.3389/fmars.2021.760909</x:v>
      </x:c>
      <x:c r="I180" s="7" t="str">
        <x:v>https://doi.org/10.3389/fmars.2021.760909</x:v>
      </x:c>
      <x:c r="J180" s="7" t="str">
        <x:v>The formation of cold-water coral (CWC) mounds is commonly seen as being the result of the sustained growth of framework-forming CWCs and the concurrent supply and deposition of terrigenous sediments under energetic hydrodynamic conditions. Yet only a limited number of studies investigated the complex interplay of the various hydrodynamic, sedimentological and biological processes involved in mound formation, which, however, focused on the environmental conditions promoting coral growth. Therefore, we are still lacking an in-depth understanding of the processes allowing the on-mound deposition of hemipelagic sediments, which contribute to two thirds of coral mound deposits. To investigate these processes over geological time and to evaluate their contribution to coral mound formation, we reconstructed changes in sediment transport and deposition by comparing sedimentological parameters (grain-size distribution, sediment composition, accumulation rates) of two sediment cores collected from a Mediterranean coral mound and the adjacent seafloor (off-mound). Our results showed that under a turbulent hydrodynamic regime promoting coral growth during the Early Holocene, the deposition of fine siliciclastic sediments shifted from the open seafloor to the coral mounds. This led to a high average mound aggradation rate of &amp;gt;130 cm kyr –1 , while sedimentation rates in the adjacent off-mound area at the same time did not exceed 10 cm kyr –1 . Thereby, the baffling of suspended sediments by the coral framework and their deposition within the ecological accommodation space provided by the corals seem to be key processes for mound formation. Although, it is commonly accepted that these processes play important roles in various sedimentary environments, our study provided for the first time, core-based empirical data proving the efficiency of these processes in coral mound environment. In addition, our approach to compare the grain-size distribution of the siliciclastic sediments deposited concurrently on a coral mound and on the adjacent seafloor allowed us to investigate the integrated influence of coral mound morphology and coral framework on the mound formation process. Based on these results, this study provides the first conceptual model for coral mound formation by applying sequence stratigraphic concepts, which highlights the interplay of the coral-framework baffling capacity, coral-derived ecological accommodation space and sediment supply.</x:v>
      </x:c>
      <x:c r="K180" s="11" t="str">
        <x:v>YES</x:v>
      </x:c>
      <x:c r="L180" s="7" t="str">
        <x:v>FROZEN_PUBLIC_FULL_TEXT_LOCATION</x:v>
      </x:c>
      <x:c r="M180" s="7" t="str">
        <x:v>https://www.frontiersin.org/articles/10.3389/fmars.2021.760909/pdf</x:v>
      </x:c>
      <x:c r="N180" s="7" t="str">
        <x:v>VERIFIED_DOI_DOCUMENT</x:v>
      </x:c>
      <x:c r="O180" s="7" t="str">
        <x:v>B01_DEEP_COLD_SEDIMENT_EVIDENCE</x:v>
      </x:c>
      <x:c r="P180" s="11" t="str">
        <x:v>HIGH</x:v>
      </x:c>
      <x:c r="Q180" s="7" t="str">
        <x:v>Cold-water corals (CWC), specifically framework-forming species that build coral mounds in the western Mediterranean Sea.</x:v>
      </x:c>
      <x:c r="R180" s="7" t="str">
        <x:v>Sediment supply and deposition, including terrigenous hemipelagic suspended sediments baffled by the coral framework; hydrodynamic conditions influencing sediment transport and deposition.</x:v>
      </x:c>
      <x:c r="S180" s="7" t="str">
        <x:v>Mound aggradation rates &gt;130 cm kyr–1 versus off-mound sedimentation &lt;10 cm kyr–1; empirical evidence of coral-framework baffling capacity and ecological accommodation space in mound formation.</x:v>
      </x:c>
      <x:c r="T180" s="7" t="str">
        <x:v>Directly addresses sediment supply and deposition interacting with cold-water corals in a deep-sea setting, providing empirical evidence for sediment-driven coral mound formation; relevant to sediment effects on cold-water coral ecosystems.</x:v>
      </x:c>
      <x:c r="U180" s="7" t="str">
        <x:v>This article is a deep-sea cold-water coral study that explicitly examines sediment supply and deposition in relation to coral mound formation. It provides empirical evidence for how suspended sediments are baffled by coral frameworks and deposited within ecological accommodation space, leading to high mound aggradation rates. This qualifies under B01 (deep/cold sediment evidence) because it addresses a sediment/deposition pathway and its ecological/geological consequences for corals. The closest alternative would be exclusion as geology/sedimentology, but the study directly links sediment transport to coral framework function and habitat formation, making it relevant to sediment effects on CWC ecosystems. It is substantive and clearly within scope.</x:v>
      </x:c>
      <x:c r="V180" s="7" t="str">
        <x:v>ALL_VERIFIED_CENTRAL_PEER_REVIEWED</x:v>
      </x:c>
      <x:c r="W180" s="7" t="str">
        <x:v>TBV1-0002</x:v>
      </x:c>
    </x:row>
    <x:row r="181" ht="42" customHeight="1">
      <x:c r="A181" s="17" t="str">
        <x:v>B</x:v>
      </x:c>
      <x:c r="B181" s="7" t="str">
        <x:v>CWC-C446CEEF0433</x:v>
      </x:c>
      <x:c r="C181" s="7" t="str">
        <x:v>Influence of turbidity regime on larval settlement patterns of stony coral Pocillopora damicornis in Polhena reef, Sri Lanka</x:v>
      </x:c>
      <x:c r="D181" s="7" t="str">
        <x:v>PB Terney Pradeep Kumara</x:v>
      </x:c>
      <x:c r="E181" s="11" t="str">
        <x:v>2013</x:v>
      </x:c>
      <x:c r="F181" s="7" t="str">
        <x:v>Sri Lanka Journal of Aquatic Sciences</x:v>
      </x:c>
      <x:c r="G181" s="7" t="str">
        <x:v>article</x:v>
      </x:c>
      <x:c r="H181" s="7" t="str">
        <x:v>10.4038/sljas.v15i0.5484</x:v>
      </x:c>
      <x:c r="I181" s="7" t="str">
        <x:v>https://doi.org/10.4038/sljas.v15i0.5484</x:v>
      </x:c>
      <x:c r="J181" s="7" t="str">
        <x:v>Coral population structure is determined mainly by the larval settlement and recruitment pattern of sclerectenian corals. This pattern is mainly influenced by various environmental parameters such as temperature, pH, salinity, depth, current velocity and direction, tidal variations and turbidity. Experiments reported here examine the impacts of turbidity on the spatio-temporal distribution patterns of larval settlement of Indo-Pacific coral, Pocillopora damicornis at Polhena reef of Southern Sri Lanka. The experiment was conducted in four sites. Depending on the topography and the characteristics of the reef substrate each site was further divided in to three locations as reef crest, mid reef flat and reef lagoon. Terracotta tiles were attached to quantify larval settlement rates. Tiles were retrieved in monthly intervals and observed for P. damicornis larval settlements. Turbidity measurements were taken from the same locations. Larval settlement and turbidity showed a significant temporal (P&lt;0.05) and spatial variation (MDS stress&lt;0.1). The highest settlement rate and turbidity level were observed in May and March respectively. A significant relationship was observed between larval settlement pattern and sedimentation regime (RELATE test, ρ = 0.251, P&lt;0.05). DOI: http://dx.doi.org/10.4038/sljas.v15i0.5484 Sri Lanka J. Aquat. Sci. 15 (2010): p.45-60</x:v>
      </x:c>
      <x:c r="K181" s="11" t="str">
        <x:v>YES</x:v>
      </x:c>
      <x:c r="L181" s="7" t="str">
        <x:v>FROZEN_PUBLIC_FULL_TEXT_LOCATION</x:v>
      </x:c>
      <x:c r="M181" s="7" t="str">
        <x:v>https://storage.googleapis.com/jnl-sljo-j-sljas-files/journals/1/articles/5484/submission/proof/5484-1-19569-1-10-20130506.pdf</x:v>
      </x:c>
      <x:c r="N181" s="7" t="str">
        <x:v>VERIFIED_DOI_DOCUMENT</x:v>
      </x:c>
      <x:c r="O181" s="7" t="str">
        <x:v>B04_TROPICAL_PHYSICAL_SEDIMENT_ANALOGUE</x:v>
      </x:c>
      <x:c r="P181" s="11" t="str">
        <x:v>HIGH</x:v>
      </x:c>
      <x:c r="Q181" s="7" t="str">
        <x:v>Tropical stony coral Pocillopora damicornis</x:v>
      </x:c>
      <x:c r="R181" s="7" t="str">
        <x:v>Turbidity regime/sedimentation, measured in reef locations</x:v>
      </x:c>
      <x:c r="S181" s="7" t="str">
        <x:v>Larval settlement rates showed significant temporal and spatial variation, with a significant relationship between settlement pattern and sedimentation regime (RELATE test)</x:v>
      </x:c>
      <x:c r="T181" s="7" t="str">
        <x:v>Direct test of turbidity effects on coral larval settlement in a tropical reef, providing a physical sediment exposure and clearly relevant biological response (settlement).</x:v>
      </x:c>
      <x:c r="U181" s="7" t="str">
        <x:v>This tropical coral study experimentally investigates the impact of turbidity regime on larval settlement of Pocillopora damicornis, directly measuring turbidity and settlement rates across reef sites. The significant relationship between larval settlement and sedimentation regime meets Tier B pathway B04 as a tropical physical sediment analogue with a clear biological response (settlement). The closest alternative would be CHAIN_ONLY, but the abstract contains direct experimental evidence of a sediment-turbidity effect on coral reproduction/settlement, not merely references. Therefore, include under B04.</x:v>
      </x:c>
      <x:c r="V181" s="7" t="str">
        <x:v>SPARING_TOP_25_TROPICAL_DIRECT_PHYSICAL_ANALOGUES</x:v>
      </x:c>
      <x:c r="W181" s="7" t="str">
        <x:v>TBV1-1164</x:v>
      </x:c>
    </x:row>
    <x:row r="182" ht="42" customHeight="1">
      <x:c r="A182" s="17" t="str">
        <x:v>B</x:v>
      </x:c>
      <x:c r="B182" s="7" t="str">
        <x:v>CWC-F68E5C6130D2</x:v>
      </x:c>
      <x:c r="C182" s="7" t="str">
        <x:v>Insights from multispecies coral seeding deployments on turbid nearshore reefs</x:v>
      </x:c>
      <x:c r="D182" s="7" t="str">
        <x:v>Cathie A. Page | Christine Giuliano | Carly J. Randall</x:v>
      </x:c>
      <x:c r="E182" s="11" t="str">
        <x:v>2026</x:v>
      </x:c>
      <x:c r="F182" s="7" t="str">
        <x:v>Coral Reefs</x:v>
      </x:c>
      <x:c r="G182" s="7" t="str">
        <x:v>article</x:v>
      </x:c>
      <x:c r="H182" s="7" t="str">
        <x:v>10.1007/s00338-026-02843-w</x:v>
      </x:c>
      <x:c r="I182" s="7" t="str">
        <x:v>https://doi.org/10.1007/s00338-026-02843-w</x:v>
      </x:c>
      <x:c r="J182" s="7" t="str">
        <x:v>Coral seeding may help sustain coral populations in a warming ocean; however, key knowledge gaps currently temper the successful application of this method across varied reef environments. This study investigated the survival and growth of three common coral species seeded on two device designs and deployed across a broad range of benthic communities in the Keppel Islands, southern inshore Great Barrier Reef. We examined the influence of algal cover and biomass, sedimentation, water flow, and temperature on seeding success after one year. Benthic communities at deployment sites ranged from coral to macroalgal dominated, yet site-level differences in survival were only detected for Acropora millepora on one device type. Coral survival and size were related to macroalgal biomass and/or cover (particularly Sargassum ), sedimentation, water temperature, and water flow, and the patterns were species specific. Overall, Montipora aequituberculata demonstrated higher survival than A. millepora and A. muricata, consistent with a previous deployment in the region. Higher survival was also observed in a side compared to an upward-facing orientation. Survival increased with the number of A. millepora spat on fixed devices and A. muricata spat on tethered devices, suggesting positive density-dependent effects. This study highlights the complex, taxa-dependent ways in which seeded coral survival is influenced by device design, pre-deployment spat number, and deployment environment.</x:v>
      </x:c>
      <x:c r="K182" s="11" t="str">
        <x:v>YES</x:v>
      </x:c>
      <x:c r="L182" s="7" t="str">
        <x:v>FROZEN_PUBLIC_FULL_TEXT_LOCATION</x:v>
      </x:c>
      <x:c r="M182" s="7" t="str">
        <x:v>https://link.springer.com/content/pdf/10.1007/s00338-026-02843-w.pdf</x:v>
      </x:c>
      <x:c r="N182" s="7" t="str">
        <x:v>VERIFIED_DOI_DOCUMENT</x:v>
      </x:c>
      <x:c r="O182" s="7" t="str">
        <x:v>B04_TROPICAL_PHYSICAL_SEDIMENT_ANALOGUE</x:v>
      </x:c>
      <x:c r="P182" s="11" t="str">
        <x:v>HIGH</x:v>
      </x:c>
      <x:c r="Q182" s="7" t="str">
        <x:v>Tropical scleractinian corals: Acropora millepora, A. muricata, Montipora aequituberculata.</x:v>
      </x:c>
      <x:c r="R182" s="7" t="str">
        <x:v>Sedimentation (along with water flow, temperature, and macroalgal biomass/cover) as an environmental variable influencing seeded coral performance.</x:v>
      </x:c>
      <x:c r="S182" s="7" t="str">
        <x:v>Coral survival, growth/size, and seeding success after one year, with species-specific responses.</x:v>
      </x:c>
      <x:c r="T182" s="7" t="str">
        <x:v>Tropical study directly measuring physical sediment exposure (sedimentation) and reporting biological responses (survival, growth) for corals, meeting B04 criteria.</x:v>
      </x:c>
      <x:c r="U182" s="7" t="str">
        <x:v>This tropical coral seeding study in the Keppel Islands (Great Barrier Reef) explicitly investigates sedimentation as a predictor of coral survival and size. It qualifies under B04 because it directly evaluates physical sediment exposure and reports biological responses for multiple coral species at the organism level. The abstract clearly links sedimentation to seeding success, so exclusion is not warranted. Other pathways (deep/cold) do not apply. Confidence is high due to explicit mention of sedimentation effects in the abstract.</x:v>
      </x:c>
      <x:c r="V182" s="7" t="str">
        <x:v>SPARING_TOP_25_TROPICAL_DIRECT_PHYSICAL_ANALOGUES</x:v>
      </x:c>
      <x:c r="W182" s="7" t="str">
        <x:v>TBV1-1166</x:v>
      </x:c>
    </x:row>
    <x:row r="183" ht="42" customHeight="1">
      <x:c r="A183" s="17" t="str">
        <x:v>B</x:v>
      </x:c>
      <x:c r="B183" s="7" t="str">
        <x:v>CWC-792395CF4241</x:v>
      </x:c>
      <x:c r="C183" s="7" t="str">
        <x:v>IODP Expedition 307 drills cold-water coral mound along the Irish continental margin</x:v>
      </x:c>
      <x:c r="D183" s="7" t="str">
        <x:v>T. Ferdelman; A. Kano; T. Williams</x:v>
      </x:c>
      <x:c r="E183" s="11" t="str">
        <x:v>2006</x:v>
      </x:c>
      <x:c r="F183" s="7" t="str"/>
      <x:c r="G183" s="7" t="str">
        <x:v>Review</x:v>
      </x:c>
      <x:c r="H183" s="7" t="str">
        <x:v>10.2204/iodp.sd.2.02.2006</x:v>
      </x:c>
      <x:c r="I183" s="7" t="str">
        <x:v>https://doi.org/10.2204/iodp.sd.2.02.2006</x:v>
      </x:c>
      <x:c r="J183" s="7" t="str">
        <x:v>Over the past decade, oceanographic and geophysical surveys along the slope of the Porcupine Seabight off the southwestern continental margin of Ireland have identified upwards of a thousand enigmatic mound-like structures (Figs. 1 and 2). The mounds of the Porcupine Seabight rise from the seafloor in water depths of 600-900 m and form impressive conical bodies several kilometers wide and up to 200 m high. Although a few mounds such as Thérèse Mound and Galway Mound are covered by a thriving thicket of coldwater corals, most mound tops and flanks are covered by dead coral rubble or are entirely buried by sediment (De Mol et al., 2002; Fig. 2, Beyer et al., 2003). Lophelia pertusa (Fig. 3) and Madrepora oculata are the most prominent cold-water corals growing without photosynthetic symbionts. The widespread discovery of large and numerous coral-bearing banks and the association of these corals with the mounds have generated significant interest as to the composition, origin and development of these mound structures. (internal control) (Hovland et al., 1998; Henriet et al., 2001). The oceanographic or environmental hypothesis states that the two most important conditions for stimulating mound development are (1) strong, nutrient-rich currents that provide suspended food to the filter-feeding corals, sweep the polyps clean of detritus and inhibit sediment burial, and (2) a stable substrate for settlement of coral larvae (Frederiksen et al., 1992). Strong bottom currents in the Belgica mound province, resulting from internal tidal wave effects at the boundary between Mediterranean Outflow Water and East North Atlantic Water, provide the suspended nutrients for filter-feeding cold-water corals.</x:v>
      </x:c>
      <x:c r="K183" s="11" t="str">
        <x:v>YES</x:v>
      </x:c>
      <x:c r="L183" s="7" t="str">
        <x:v>FROZEN_PUBLIC_FULL_TEXT_LOCATION</x:v>
      </x:c>
      <x:c r="M183" s="7" t="str">
        <x:v>https://sd.copernicus.org/articles/2/11/2006/sd-2-11-2006.pdf</x:v>
      </x:c>
      <x:c r="N183" s="7" t="str">
        <x:v>VERIFIED_DOI_DOCUMENT</x:v>
      </x:c>
      <x:c r="O183" s="7" t="str">
        <x:v>B01_DEEP_COLD_SEDIMENT_EVIDENCE</x:v>
      </x:c>
      <x:c r="P183" s="11" t="str">
        <x:v>HIGH</x:v>
      </x:c>
      <x:c r="Q183" s="7" t="str">
        <x:v>Cold-water corals Lophelia pertusa and Madrepora oculata, associated with coral mounds in the Porcupine Seabight.</x:v>
      </x:c>
      <x:c r="R183" s="7" t="str">
        <x:v>Sediment burial and sedimentary processes; the environmental hypothesis notes that currents sweep coral polyps clean of detritus and inhibit sediment burial.</x:v>
      </x:c>
      <x:c r="S183" s="7" t="str">
        <x:v>Ecological condition: thriving thickets on some mounds vs dead coral rubble or burial by sediment on others; mound development and coral growth conditions.</x:v>
      </x:c>
      <x:c r="T183" s="7" t="str">
        <x:v>This is a deep/cold-water coral source with explicit sediment-related pathways (burial, inhibition via currents) and biological/ecological condition evidence, meeting B01.</x:v>
      </x:c>
      <x:c r="U183" s="7" t="str">
        <x:v>The record is an IODP expedition report on cold-water coral mounds, explicitly discussing sediment burial and coral vitality. It identifies Lophelia pertusa and Madrepora oculata, notes that most mound tops are buried by sediment or covered in dead rubble, while others support thriving coral thickets, and links currents to preventing sediment burial. This clearly provides sediment-pathway evidence for deep/cold-water corals. It qualifies under B01, and also has review/assessment elements (B02), but B01 is more specific for the evidence provided. Exclusions do not apply. The document is substantive (expedition report, not a landing page). Confidence is high based on the abstract.</x:v>
      </x:c>
      <x:c r="V183" s="7" t="str">
        <x:v>ALL_VERIFIED_CENTRAL_PEER_REVIEWED</x:v>
      </x:c>
      <x:c r="W183" s="7" t="str">
        <x:v>TBV1-0019</x:v>
      </x:c>
    </x:row>
    <x:row r="184" ht="42" customHeight="1">
      <x:c r="A184" s="17" t="str">
        <x:v>B</x:v>
      </x:c>
      <x:c r="B184" s="7" t="str">
        <x:v>CWC-1BEA68C735FE</x:v>
      </x:c>
      <x:c r="C184" s="7" t="str">
        <x:v>Korallrev og andre bunnhabitater på Tautraryggen i Trondheimsfjorden</x:v>
      </x:c>
      <x:c r="D184" s="7" t="str">
        <x:v>Pål Buhl‐Mortensen | Jan Helge Fosså</x:v>
      </x:c>
      <x:c r="E184" s="11" t="str">
        <x:v>2001</x:v>
      </x:c>
      <x:c r="F184" s="7" t="str">
        <x:v>Duo Research Archive (University of Oslo)</x:v>
      </x:c>
      <x:c r="G184" s="7" t="str">
        <x:v>report</x:v>
      </x:c>
      <x:c r="H184" s="7" t="str"/>
      <x:c r="I184" s="7" t="str">
        <x:v>http://hdl.handle.net/11250/113679</x:v>
      </x:c>
      <x:c r="J184" s="7" t="str">
        <x:v>The Norwegian State Oil Company, Statoil, is planning a gas-pipeline in\nTrondheimsfjorden. The pipeline will cross a glacial sill containing important Lophelia\npertusa coral reefs. This cause some concern because deep-water coral reefs are highly\nsensitive for mechanical disturbance, grows slowly and are expected to need long\nrecovery time. For this reason one group of reefs on the ridge is already protected against human activities. However, only some parts of the ridge areas have been mapped and the present work reports additional mapping. Mapping of coral reefs and other bottom\nhabitats were concentrated to two potential pipeline corridors. In addition, a part of the ridge between the two alternative routes was studied. A ROV equipped with a video\nrecorder and a Van Veen grab were used. Grab samples were taken close to the reefs.\nNine main types of bottom habitats, including Lophelia reefs, were identified on the ridge. The diversity of species as documented on video is higher than on similar areas on the continental shelf. The diversity of species recorded in the grab samples was as expected for the investigated habitats. A potential pipeline route was found in an area of the ridge without reefs. On elevations and hard bottoms surrounding the potential pipeline track occurrences of sponges and gorgonian corals were documented. These species groups are also sensitive to mechanical disturbance such as anchoring of pipeline-laying vessels or heavy resuspension of sediments. NORSK SAMMENDRAG: Dypvannskorallrev av typen Lophelia pertusa er meget sårbare for mekanisk påvirkning.\nKorallene vokser sent og derfor vil skader ta lang tid på å leges. Statoil planlegger en\ngassrørledning fra Tjeldbergodden gjennom Trondheimsfjorden og inn til Skogn. En slik\nledning vil måtte krysse Tautraryggen hvor det finnes betydelige forekomster av\nkorallrev. Et stort korallrev ved Selligrunnen er fredet med status som midlertidig naturreservat. Bunnforholdene og forekomst av korallrev ble undersøkt i to potensielle traseområder. I tillegg ble en del av ryggen mellom de to trasealternativene undersøkt. Undersøkelsen er basert på analyser av video-opptak gjort med ROV (fjernstyrt miniubåt) og grabbprøver utenfor revene. Det ble dokumentert betydelige forekomster av Lophelia pertusa-korallrev og ni hovedtyper av bunnhabitater på Tautraryggen . Det biologiske mangfoldet dokumentert med videofilm er større enn på et tilsvarende areal på kontinentalsokkelen. Det biologiske mangfoldet i grabbprøvene var som forventet i de undersøkte habitatene. Det ble funnet en potensiell trase for en rørledning over ryggen hvor det ikke var korallrev. På topper og hardbunn rundt den potensielle traseen ble det dokumentert forekomster av store svamper og sjøtrær som også er sårbare for mekanisk påvirkning f.eks. oppankring av leggefartøy eller kraftig oppvirvling av sedimenter.</x:v>
      </x:c>
      <x:c r="K184" s="11" t="str">
        <x:v>NO</x:v>
      </x:c>
      <x:c r="L184" s="7" t="str">
        <x:v>NOT_CONFIRMED</x:v>
      </x:c>
      <x:c r="M184" s="7" t="str"/>
      <x:c r="N184" s="7" t="str">
        <x:v>VERIFIED_BIBLIOGRAPHIC_DOCUMENT</x:v>
      </x:c>
      <x:c r="O184" s="7" t="str">
        <x:v>B02_DEEP_COLD_REVIEW_ASSESSMENT</x:v>
      </x:c>
      <x:c r="P184" s="11" t="str">
        <x:v>HIGH</x:v>
      </x:c>
      <x:c r="Q184" s="7" t="str">
        <x:v>Lophelia pertusa coral reefs, large sponges, and gorgonian corals (sjøtrær) documented on Tautraryggen in Trondheimsfjorden.</x:v>
      </x:c>
      <x:c r="R184" s="7" t="str">
        <x:v>Mechanical disturbance from pipeline-laying vessel anchoring and heavy resuspension of sediments associated with pipeline construction.</x:v>
      </x:c>
      <x:c r="S184" s="7" t="str">
        <x:v>Assessment of coral and sponge sensitivity to mechanical disturbance and sediment resuspension; mapping of sensitive habitats to identify low-impact pipeline routes; identification of protected reef areas and diversity assessments.</x:v>
      </x:c>
      <x:c r="T184" s="7" t="str">
        <x:v>B02: Substantive report/assessment for a cold-water coral and sponge habitat with a direct sediment-impact focus (resuspension) and clear potential to inform impact, exposure, vulnerability, and mitigation for the planned pipeline.</x:v>
      </x:c>
      <x:c r="U184" s="7" t="str">
        <x:v>This report is a substantive deep/cold-water coral and sponge assessment focused on potential impacts from a gas pipeline crossing Tautraryggen. The abstract explicitly mentions sensitivity of Lophelia pertusa reefs and sponge/gorgonian habitats to mechanical disturbance and heavy resuspension of sediments. It provides mapping, habitat classification, and impact-relevant context for pipeline routing, meeting Tier B pathway B02 as an assessment/monitoring report with direct sediment-impact relevance. Unlike a mere mapping or distribution study, it evaluates biological sensitivity and informs mitigation. It is preferable over CHAIN_ONLY because it contains direct sediment pathway and sensitivity evidence for target organisms. It is not B01 because its primary value is as an assessment report rather than direct empirical effects evidence, though it includes observational data.</x:v>
      </x:c>
      <x:c r="V184" s="7" t="str">
        <x:v>ALL_VERIFIED_NON_TROPICAL_TIER_B_INCLUSIONS</x:v>
      </x:c>
      <x:c r="W184" s="7" t="str">
        <x:v>TBV1-0150</x:v>
      </x:c>
    </x:row>
    <x:row r="185" ht="42" customHeight="1">
      <x:c r="A185" s="17" t="str">
        <x:v>B</x:v>
      </x:c>
      <x:c r="B185" s="7" t="str">
        <x:v>CWC-92D16A3D3E94</x:v>
      </x:c>
      <x:c r="C185" s="7" t="str">
        <x:v>Late Holocene calcium carbonate accumulation in a cold-water coral mound in the northern Bay of Biscay.</x:v>
      </x:c>
      <x:c r="D185" s="7" t="str">
        <x:v>Evan Edinger | Jean‐François Bourillet | Lénàïck Menot</x:v>
      </x:c>
      <x:c r="E185" s="11" t="str">
        <x:v>2024</x:v>
      </x:c>
      <x:c r="F185" s="7" t="str"/>
      <x:c r="G185" s="7" t="str">
        <x:v>conference-abstract</x:v>
      </x:c>
      <x:c r="H185" s="7" t="str">
        <x:v>10.5194/egusphere-egu24-4078</x:v>
      </x:c>
      <x:c r="I185" s="7" t="str">
        <x:v>https://doi.org/10.5194/egusphere-egu24-4078</x:v>
      </x:c>
      <x:c r="J185" s="7" t="str">
        <x:v>Cold-water coral reefs and communities can be locally important calcium carbonate factories in continental shelf and slope environments.&amp;#160; Cold-water coral mounds dominated by Desmophyllum pertusum (=Lophelia pertusa) occur within Bay of Biscay submarine canyons.&amp;#160; Here we present a late Holocene record of coral carbonate accumulation through a colonial scleractinian coral mound in the 750-850 m depth range in Guilvinec Canyon, northern Bay of Biscay.&amp;#160; Guilvinec Canyon, like most submarine canyons of the Bay of Biscay, is a dominantly siliciclastic sandy environment, with occasional coral gardens.&amp;#160; Maximum live coral cover in the area surveyed in Guilvinec Canyon was about 9%, measured close to the site of the sediment core analyzed.A 2011 sediment core through the mound recovered 1.18 m of sediment, consisting of mostly siliciclastic silty sand and coral gravel, strongly dominated by Lophelia pertusa fragments.&amp;#160;&amp;#160; In addition to standard geophysical, grain size, and mineralogical analyses, the core was analyzed by CT-scan.&amp;#160; The number of coral calices visible per cm3 was counted, and the core was subsampled for coral calice abundance and mass in 5 mm increments, calculating the number of calices and mass of coral carbonate skeletons per cm3 subsample.&amp;#160; An age model from previous 14C and U/Th ages of coral fragments in the core yielded a long-term average coral carbonate accretion rate of 78 g CaCO3 m-2 y-1 over the past ~2150 y, divided into two phases: 40.8 g CaCO3 m-2 y-1 (from core-bottom to -59 cm, approximately 685 ybp), and 156.2 g CaCO3 m-2 y-1 in the upper half of the core. Coarse coral-dominated gravel in the core-catcher contained coral fragments approximately 7 ka in age, indicating a long hiatus before the renewal of coral growth at this site.&amp;#160; Aragonite % in the fine sediment was not correlated with coral abundance in the core.&amp;#160; A second core recovered nearby was composed of siliciclastic silty sand, but contained almost no coral fragments.&amp;#160; The large variation between the two cores indicates high levels of local heterogeneity in sediment accumulation patterns, apparently much greater than the variation in live coral cover at the surface.Coral carbonate accumulation rates in Guilvinec Canyon were 1-2 orders of magnitude lower than coral carbonate accumulation estimates from Lophelia pertusa reefs on the Norwegian Margin. Nonetheless, coral carbonate accumulation rates in the core were an order of magnitude higher than Recent coral carbonate production rates based on ROV-video estimates of coral biomass and published growth rates.&amp;#160; This difference may be attributable to time-averaging, local heterogeneity, changes in sedimentation or current regime, or to late-20th century decline in coral abundance resulting from a variety of anthropogenic pressures.&amp;#160; Recent threats to Bay of Biscay cold-water coral reefs include increased sediment mobilization from bottom trawling near the heads of submarine canyons, rising seawater temperatures, and declining aragonite saturation.&amp;#160; New field and lab experiments on coral growth rates and skeletal degradation may help to disentangle anthropogenic pressures and project the fate of Bay of Biscay cold-water coral reefs in the face of climate change and ocean acidification.</x:v>
      </x:c>
      <x:c r="K185" s="11" t="str">
        <x:v>NO</x:v>
      </x:c>
      <x:c r="L185" s="7" t="str">
        <x:v>NOT_CONFIRMED</x:v>
      </x:c>
      <x:c r="M185" s="7" t="str"/>
      <x:c r="N185" s="7" t="str">
        <x:v>VERIFIED_DOI_DOCUMENT</x:v>
      </x:c>
      <x:c r="O185" s="7" t="str">
        <x:v>B01_DEEP_COLD_SEDIMENT_EVIDENCE</x:v>
      </x:c>
      <x:c r="P185" s="11" t="str">
        <x:v>HIGH</x:v>
      </x:c>
      <x:c r="Q185" s="7" t="str">
        <x:v>Cold-water coral Desmophyllum pertusum (=Lophelia pertusa) in Guilvinec Canyon, Bay of Biscay.</x:v>
      </x:c>
      <x:c r="R185" s="7" t="str">
        <x:v>Siliciclastic sedimentary environment; changes in sedimentation; increased sediment mobilization from bottom trawling.</x:v>
      </x:c>
      <x:c r="S185" s="7" t="str">
        <x:v>Coral carbonate accumulation rates (g CaCO3 m-2 y-1), live coral cover estimates, and sediment-core comparisons showing local heterogeneity; potential impacts of sediment mobilization discussed.</x:v>
      </x:c>
      <x:c r="T185" s="7" t="str">
        <x:v>B01: Deep-sea cold-water coral source with explicit sediment pathway (sediment accumulation, changes in sedimentation, trawling-induced sediment mobilization) and ecological/condition evidence (carbonate accumulation, coral cover).</x:v>
      </x:c>
      <x:c r="U185" s="7" t="str">
        <x:v>This conference abstract reports on a cold-water coral mound dominated by Desmophyllum pertusum. It directly addresses sediment accumulation patterns in a siliciclastic environment, noting high local heterogeneity and discussing increased sediment mobilization from bottom trawling as a threat. The record provides quantitative data on carbonate accumulation rates and coral cover, offering biological/ecological evidence relevant to sediment effects. This fits B01 as deep/cold sediment evidence, even though the response is indirect. It is not merely physical sedimentology or habitat mapping, as it includes biological metrics. The alternative CHAIN_ONLY would be inappropriate because the abstract itself contains substantive coral-sediment relevant evidence. Confidence is high given the explicit combination of organism, sediment pathway, and response indicators.</x:v>
      </x:c>
      <x:c r="V185" s="7" t="str">
        <x:v>ALL_VERIFIED_NON_TROPICAL_TIER_B_INCLUSIONS</x:v>
      </x:c>
      <x:c r="W185" s="7" t="str">
        <x:v>TBV1-0040</x:v>
      </x:c>
    </x:row>
    <x:row r="186" ht="42" customHeight="1">
      <x:c r="A186" s="17" t="str">
        <x:v>B</x:v>
      </x:c>
      <x:c r="B186" s="7" t="str">
        <x:v>CWC-75A54516656C</x:v>
      </x:c>
      <x:c r="C186" s="7" t="str">
        <x:v>Long-term observations of a sponge in situ reveal a rich repertoire of contractile behaviors, including winter dormancy</x:v>
      </x:c>
      <x:c r="D186" s="7" t="str">
        <x:v>DE Harrison | MS Diluvio | Eugueni Matveev | PVF Corrêa | FC De Leo | Sally P. Leys</x:v>
      </x:c>
      <x:c r="E186" s="11" t="str">
        <x:v>2024</x:v>
      </x:c>
      <x:c r="F186" s="7" t="str">
        <x:v>Marine Ecology Progress Series</x:v>
      </x:c>
      <x:c r="G186" s="7" t="str">
        <x:v>article</x:v>
      </x:c>
      <x:c r="H186" s="7" t="str">
        <x:v>10.3354/meps14694</x:v>
      </x:c>
      <x:c r="I186" s="7" t="str">
        <x:v>https://doi.org/10.3354/meps14694</x:v>
      </x:c>
      <x:c r="J186" s="7" t="str">
        <x:v>Sponges are remarkably active animals with a range of behaviors that are broadly termed sneezes. Little is known about what triggers sneezes or how sneezes propagate in an animal that lacks either muscular or nervous systems. We explored the triggers of sponge behavior in situ in the demosponge Suberites concinnus . The placement of this tennis ball-sized sponge at the focal point of a camera array on an instrument platform in Barkley Sound, BC, Canada, provided a unique opportunity for our investigation. The observatory has a suite of environmental sensors measuring parameters such as photosynthetically active radiation (PAR), oxygen, turbidity, salinity, pressure, current speed, and temperature. An array of 8 cameras designed for 3D imaging was used to capture hourly images. Our findings revealed both long-term (annual) and short-term (daily) behaviors in S. concinnus . The sponge contracted for 2 mo each winter. In February, it gradually expanded and became very active with short-term full-body contractions each lasting 11 h through the summer. A meta-analysis of contraction behaviors in other species of sponge showed that contraction duration is a factor of sponge size and that all sponges contract faster than they expand. Invertebrates and fish were frequently in contact with the sponge, but no single interaction was found to correlate with patterns of sponge behavior. However, significant correlations between sponge behaviors and chlorophyll and turbidity were found using generalized additive mixed models. Our study underscores the dynamic nature of these sessile filter feeders and their responses to their environment.</x:v>
      </x:c>
      <x:c r="K186" s="11" t="str">
        <x:v>NO</x:v>
      </x:c>
      <x:c r="L186" s="7" t="str">
        <x:v>NOT_CONFIRMED</x:v>
      </x:c>
      <x:c r="M186" s="7" t="str"/>
      <x:c r="N186" s="7" t="str">
        <x:v>VERIFIED_DOI_DOCUMENT</x:v>
      </x:c>
      <x:c r="O186" s="7" t="str">
        <x:v>B01_DEEP_COLD_SEDIMENT_EVIDENCE</x:v>
      </x:c>
      <x:c r="P186" s="11" t="str">
        <x:v>HIGH</x:v>
      </x:c>
      <x:c r="Q186" s="7" t="str">
        <x:v>Demosponge Suberites concinnus studied in situ in Barkley Sound, BC, Canada; meta-analysis includes other sponge species.</x:v>
      </x:c>
      <x:c r="R186" s="7" t="str">
        <x:v>Turbidity (suspended sediment proxy) measured by environmental sensors; also chlorophyll, but turbidity is the sediment-related pathway.</x:v>
      </x:c>
      <x:c r="S186" s="7" t="str">
        <x:v>Sponge contractile behaviors including winter dormancy and daily full-body contractions; significant correlations with turbidity using generalized additive mixed models.</x:v>
      </x:c>
      <x:c r="T186" s="7" t="str">
        <x:v>The study provides evidence of a cold-water/temperate sponge responding to turbidity, a sediment pathway, making it eligible under B01 for deep/cold sediment evidence.</x:v>
      </x:c>
      <x:c r="U186" s="7" t="str">
        <x:v>This article investigates behavioral responses of the sponge Suberites concinnus in Barkley Sound, Canada. Environmental sensors measured turbidity, a suspended-sediment pathway, and the authors found significant correlations between sponge contraction behaviors (including winter dormancy) and turbidity using GAMMs. The organism is a cold-water/temperate sponge, and the study provides direct evidence of behavioral response linked to turbidity. This fits B01 (deep/cold sediment evidence) because it involves a cold-water sponge with an explicit turbidity pathway and biological response, even though not a controlled experiment. The closest alternative B03 was considered, but that requires direct testing of a sediment-related exposure; this is observational, making B01 more appropriate. Exclusions for no coral/sponge or no sediment pathway do not apply.</x:v>
      </x:c>
      <x:c r="V186" s="7" t="str">
        <x:v>ALL_VERIFIED_CENTRAL_PEER_REVIEWED</x:v>
      </x:c>
      <x:c r="W186" s="7" t="str">
        <x:v>TBV1-0286</x:v>
      </x:c>
    </x:row>
    <x:row r="187" ht="42" customHeight="1">
      <x:c r="A187" s="17" t="str">
        <x:v>B</x:v>
      </x:c>
      <x:c r="B187" s="7" t="str">
        <x:v>CWC-4CCE82DDB3F6</x:v>
      </x:c>
      <x:c r="C187" s="7" t="str">
        <x:v>Mapping and Conservation of Cold-Water Corals in the Lacaze-Duthiers Canyon for Transboundary Management</x:v>
      </x:c>
      <x:c r="D187" s="7" t="str">
        <x:v>Marie-Claire Fabri | JEANNE DREIDEMY | Claude Estournel | Sandrine Vaz | Noëmie Michez | Pere Puig | Franck Lartaud</x:v>
      </x:c>
      <x:c r="E187" s="11" t="str">
        <x:v>2025</x:v>
      </x:c>
      <x:c r="F187" s="7" t="str">
        <x:v>Mediterranean Marine Science</x:v>
      </x:c>
      <x:c r="G187" s="7" t="str">
        <x:v>article</x:v>
      </x:c>
      <x:c r="H187" s="7" t="str">
        <x:v>10.12681/mms.40914</x:v>
      </x:c>
      <x:c r="I187" s="7" t="str">
        <x:v>https://doi.org/10.12681/mms.40914</x:v>
      </x:c>
      <x:c r="J187" s="7" t="str">
        <x:v>Cold-water coral habitats (Madrepora oculata and Desmophyllum pertusum) were mapped in the Lacaze-Duthiers Canyon, within the “Parc naturel marin du golfe du Lion” (northwestern Mediterranean), to support the creation of a strongly protected area for these vulnerable marine ecosystems (VME). The analyses are based on ROV data, high-resolution digital terrain models (5–10 m), hydrodynamic model simulations (currents, temperature, salinity from SYMPHONIE), and fishing pressure data derived from Vessel Monitoring System (VMS) and Automatic Identification System (AIS) fishing data. Habitat models indicate coral habitats are mainly on the western canyon flank (250 to 600 m depth). Desmophyllum pertusum predominantly colonizes gentle slopes at cliff bases, while M. oculata is found on steeper slopes, and the eastern flank. Some western flank areas support both species. Direct impacts from fishing activities, including lost longlines and nets entangled with corals, were observed. In addition, bottom trawling at the continental shelf edge induces sediment resuspension, potentially smothering the underlying coral ecosystems in the canyon. This study recommends enhancing fishing activity monitoring by increasing VMS positioning transmission frequency across European countries and facilitating the combination of VMS and AIS data to derive higher-resolution fishing effort and footprint assessments. Protection should prioritize canyon flanks and the surrounding continental shelf, not just the canyon itself, to mitigate fishing pressure. Tailored management measures are needed for sensitive habitats. Creating a strongly protected area will require crossborder cooperation (France, Spain) to ensure the effective conservation of these fragile ecosystems.</x:v>
      </x:c>
      <x:c r="K187" s="11" t="str">
        <x:v>YES</x:v>
      </x:c>
      <x:c r="L187" s="7" t="str">
        <x:v>FROZEN_PUBLIC_FULL_TEXT_LOCATION</x:v>
      </x:c>
      <x:c r="M187" s="7" t="str">
        <x:v>https://ejournals.epublishing.ekt.gr/index.php/hcmr-med-mar-sc/article/download/40914/30615</x:v>
      </x:c>
      <x:c r="N187" s="7" t="str">
        <x:v>VERIFIED_DOI_DOCUMENT</x:v>
      </x:c>
      <x:c r="O187" s="7" t="str">
        <x:v>B01_DEEP_COLD_SEDIMENT_EVIDENCE</x:v>
      </x:c>
      <x:c r="P187" s="11" t="str">
        <x:v>HIGH</x:v>
      </x:c>
      <x:c r="Q187" s="7" t="str">
        <x:v>Cold-water corals Madrepora oculata and Desmophyllum pertusum mapped in Lacaze-Duthiers Canyon.</x:v>
      </x:c>
      <x:c r="R187" s="7" t="str">
        <x:v>Sediment resuspension from bottom trawling at the continental shelf edge, potentially smothering coral ecosystems; also direct fishing gear entanglement.</x:v>
      </x:c>
      <x:c r="S187" s="7" t="str">
        <x:v>Habitat mapping and conservation assessment; observed fishing impacts including lost longlines and nets entangled with corals; potential smothering of coral habitats by trawl-induced sediment resuspension; management and protection recommendations.</x:v>
      </x:c>
      <x:c r="T187" s="7" t="str">
        <x:v>Deep/cold-water coral study with explicit sediment pathway (trawling-induced resuspension/smothering) and impact/management assessment for coral habitats.</x:v>
      </x:c>
      <x:c r="U187" s="7" t="str">
        <x:v>The record describes a mapping and conservation assessment of cold-water coral habitats (Madrepora oculata and Desmophyllum pertusum) in Lacaze-Duthiers Canyon. It explicitly identifies bottom trawling-induced sediment resuspension on the continental shelf edge as a potential smothering threat to underlying coral ecosystems, and reports direct fishing impacts such as entangled lost gear. This provides organism-specific deep/cold coral evidence tied to a sediment-related pathway (resuspension/smothering) and associated impact/management assessment, meeting B01_DEEP_COLD_SEDIMENT_EVIDENCE. The closest alternative would be B02, but the sediment pathway is explicitly linked to impacts in the abstract, making B01 more precise. Exclusion is not warranted because the sediment pathway is relevant to the conservation rationale and includes observed and potential ecological effects.</x:v>
      </x:c>
      <x:c r="V187" s="7" t="str">
        <x:v>ALL_VERIFIED_CENTRAL_PEER_REVIEWED</x:v>
      </x:c>
      <x:c r="W187" s="7" t="str">
        <x:v>TBV1-0083</x:v>
      </x:c>
    </x:row>
    <x:row r="188" ht="42" customHeight="1">
      <x:c r="A188" s="17" t="str">
        <x:v>B</x:v>
      </x:c>
      <x:c r="B188" s="7" t="str">
        <x:v>CWC-DEC36A45162C</x:v>
      </x:c>
      <x:c r="C188" s="7" t="str">
        <x:v>Mechanisms of damage to corals exposed to sedimentation</x:v>
      </x:c>
      <x:c r="D188" s="7" t="str">
        <x:v>Miriam Weber | Dirk de Beer | Christian Lott | Lùbos Polerecký | Katharina Kohls | Raeid M. M. Abed | Timothy G. Ferdelman | Katharina Fabricius</x:v>
      </x:c>
      <x:c r="E188" s="11" t="str">
        <x:v>2012</x:v>
      </x:c>
      <x:c r="F188" s="7" t="str">
        <x:v>Proceedings of the National Academy of Sciences</x:v>
      </x:c>
      <x:c r="G188" s="7" t="str">
        <x:v>article</x:v>
      </x:c>
      <x:c r="H188" s="7" t="str">
        <x:v>10.1073/pnas.1100715109</x:v>
      </x:c>
      <x:c r="I188" s="7" t="str">
        <x:v>https://doi.org/10.1073/pnas.1100715109</x:v>
      </x:c>
      <x:c r="J188" s="7" t="str">
        <x:v>We investigated the mechanisms leading to rapid death of corals when exposed to runoff and resuspended sediments, postulating that the killing was microbially mediated. Microsensor measurements were conducted in mesocosm experiments and in naturally accumulated sediment on corals. In organic-rich, but not in organic-poor sediment, pH and oxygen started to decrease as soon as the sediment accumulated on the coral. Organic-rich sediments caused tissue degradation within 1 d, whereas organic-poor sediments had no effect after 6 d. In the harmful organic-rich sediment, hydrogen sulfide concentrations were low initially but increased progressively because of the degradation of coral mucus and dead tissue. Dark incubations of corals showed that separate exposures to darkness, anoxia, and low pH did not cause mortality within 4 d. However, the combination of anoxia and low pH led to colony death within 24 h. When hydrogen sulfide was added after 12 h of anoxia and low pH, colonies died after an additional 3 h. We suggest that sedimentation kills corals through microbial processes triggered by the organic matter in the sediments, namely respiration and presumably fermentation and desulfurylation of products from tissue degradation. First, increased microbial respiration results in reduced O(2) and pH, initiating tissue degradation. Subsequently, the hydrogen sulfide formed by bacterial decomposition of coral tissue and mucus diffuses to the neighboring tissues, accelerating the spread of colony mortality. Our data suggest that the organic enrichment of coastal sediments is a key process in the degradation of coral reefs exposed to terrestrial runoff.</x:v>
      </x:c>
      <x:c r="K188" s="11" t="str">
        <x:v>YES</x:v>
      </x:c>
      <x:c r="L188" s="7" t="str">
        <x:v>FROZEN_PUBLIC_FULL_TEXT_LOCATION</x:v>
      </x:c>
      <x:c r="M188" s="7" t="str">
        <x:v>https://www.pnas.org/content/pnas/109/24/E1558.full.pdf</x:v>
      </x:c>
      <x:c r="N188" s="7" t="str">
        <x:v>VERIFIED_DOI_DOCUMENT</x:v>
      </x:c>
      <x:c r="O188" s="7" t="str">
        <x:v>B04_TROPICAL_PHYSICAL_SEDIMENT_ANALOGUE</x:v>
      </x:c>
      <x:c r="P188" s="11" t="str">
        <x:v>HIGH</x:v>
      </x:c>
      <x:c r="Q188" s="7" t="str">
        <x:v>Tropical corals (coral colonies) exposed to simulated runoff and resuspended sediments.</x:v>
      </x:c>
      <x:c r="R188" s="7" t="str">
        <x:v>Sedimentation with organic-rich and organic-poor sediments; anoxia, low pH, hydrogen sulfide; terrestrial runoff.</x:v>
      </x:c>
      <x:c r="S188" s="7" t="str">
        <x:v>Rapid tissue degradation and colony mortality with organic-rich sediment; no effect with organic-poor sediment; death within 24 h under combined anoxia and low pH, faster when sulfide added.</x:v>
      </x:c>
      <x:c r="T188" s="7" t="str">
        <x:v>Direct experimental mesocosm testing of sediment exposure on tropical corals with clear mortality and tissue-degradation responses; fits B04 tropical physical sediment analogue.</x:v>
      </x:c>
      <x:c r="U188" s="7" t="str">
        <x:v>This article experimentally tests sedimentation on tropical corals in mesocosms, directly satisfying B04 (tropical physical sediment analogue) by measuring mortality and tissue degradation in response to organic-rich versus organic-poor sediments. The stressor pathway is explicit (sediment accumulation, anoxia, low pH, sulfide), and responses are clearly biological. The closest alternative would be B01 if the corals were deep-sea/cold-water, but the abstract references coral reefs and terrestrial runoff, indicating tropical/warm-water settings. B03 is not applicable because the organisms are tropical rather than temperate/polar/mesophotic. The document is a substantive primary research article, and the abstract contains sufficient evidence for inclusion.</x:v>
      </x:c>
      <x:c r="V188" s="7" t="str">
        <x:v>SPARING_TOP_25_TROPICAL_DIRECT_PHYSICAL_ANALOGUES</x:v>
      </x:c>
      <x:c r="W188" s="7" t="str">
        <x:v>TBV1-1034</x:v>
      </x:c>
    </x:row>
    <x:row r="189" ht="42" customHeight="1">
      <x:c r="A189" s="17" t="str">
        <x:v>B</x:v>
      </x:c>
      <x:c r="B189" s="7" t="str">
        <x:v>CWC-1232E9ACE3BB</x:v>
      </x:c>
      <x:c r="C189" s="7" t="str">
        <x:v>Metabolic responses of a phototrophic sponge to sedimentation supports transitions to sponge-dominated reefs</x:v>
      </x:c>
      <x:c r="D189" s="7" t="str">
        <x:v>Andrew Biggerstaff | David J. Smith | Jamaluddin Jompa | James J. Bell</x:v>
      </x:c>
      <x:c r="E189" s="11" t="str">
        <x:v>2017</x:v>
      </x:c>
      <x:c r="F189" s="7" t="str">
        <x:v>Scientific Reports</x:v>
      </x:c>
      <x:c r="G189" s="7" t="str">
        <x:v>article</x:v>
      </x:c>
      <x:c r="H189" s="7" t="str">
        <x:v>10.1038/s41598-017-03018-y</x:v>
      </x:c>
      <x:c r="I189" s="7" t="str">
        <x:v>https://doi.org/10.1038/s41598-017-03018-y</x:v>
      </x:c>
      <x:c r="J189" s="7" t="str">
        <x:v>Declines in coral abundance have been linked to increased sedimentation at many locations across the world and at some of these locations there have been subsequent increases in sponge abundance. These shifts appear counterintuitive as sponges are suspension feeders and many rely on photosymbionts for carbon. At a sedimented reef in Indonesia (Wakatobi) corals have declined and the photoautotrophic sponge Lamellodysidea herbacea is now abundant. We hypothesise that this is partly due to L. herbacea's ability to clear its tissues of high levels of settled-sediment and compensate for associated metabolic demands by altering its respiration rate. Negligible detrimental effects to sponge tissue were observed after treatments up to five times the sedimentation rate of the highly sedimented reef. Rapid sediment clearance occurred that was potentially aided by mucus production. Finally, high sediment exposure caused an immediate reduction in respiration rate, likely due to reduced pumping to prevent clogging, whereas sustained high sedimentation caused an increase in respiration rate, potentially due to the energetic cost of mucus production. Our study provides evidence that some sponges can tolerate environments that appear unsuitable to many corals and with increased sedimentation this acclimation may support further transitions to sponge dominated reefs in the future.</x:v>
      </x:c>
      <x:c r="K189" s="11" t="str">
        <x:v>YES</x:v>
      </x:c>
      <x:c r="L189" s="7" t="str">
        <x:v>FROZEN_PUBLIC_FULL_TEXT_LOCATION</x:v>
      </x:c>
      <x:c r="M189" s="7" t="str">
        <x:v>https://www.nature.com/articles/s41598-017-03018-y.pdf</x:v>
      </x:c>
      <x:c r="N189" s="7" t="str">
        <x:v>VERIFIED_DOI_DOCUMENT</x:v>
      </x:c>
      <x:c r="O189" s="7" t="str">
        <x:v>B04_TROPICAL_PHYSICAL_SEDIMENT_ANALOGUE</x:v>
      </x:c>
      <x:c r="P189" s="11" t="str">
        <x:v>HIGH</x:v>
      </x:c>
      <x:c r="Q189" s="7" t="str">
        <x:v>Phototrophic sponge Lamellodysidea herbacea from a sedimented tropical reef (Wakatobi, Indonesia); coral-to-sponge community shift context.</x:v>
      </x:c>
      <x:c r="R189" s="7" t="str">
        <x:v>Controlled sedimentation treatments up to five times the sedimentation rate of a highly sedimented reef; settled sediment, sediment clearance, mucus production, and clogging-related pump reduction.</x:v>
      </x:c>
      <x:c r="S189" s="7" t="str">
        <x:v>Tissue condition, rapid sediment clearance, mucus production, immediate respiration rate reduction, sustained high sedimentation respiration increase, negligible detrimental tissue effects, and inferred acclimation supporting sponge dominance.</x:v>
      </x:c>
      <x:c r="T189" s="7" t="str">
        <x:v>Tropical sponge study directly experimentally testing physical sediment exposure (sedimentation) and reporting clearly relevant biological responses (clearance, respiration, mucus production, tissue effects), meeting B04.</x:v>
      </x:c>
      <x:c r="U189" s="7" t="str">
        <x:v>This article directly tests the effect of sedimentation on a tropical sponge (Lamellodysidea herbacea) and reports multiple relevant responses: efficient sediment clearance, mucus production, altered respiration, and negligible tissue damage. The stressor is explicitly physical sediment exposure, and the response is biological and condition-related. This meets the B04 tropical physical sediment analogue pathway. The closest alternative would be exclusion for lack of coral evidence, but sponge evidence is explicitly in scope. Another alternative is B03, but the study is tropical, not non-tropical. The abstract contains sufficient detail for a high-confidence inclusion.</x:v>
      </x:c>
      <x:c r="V189" s="7" t="str">
        <x:v>SPARING_TOP_25_TROPICAL_DIRECT_PHYSICAL_ANALOGUES</x:v>
      </x:c>
      <x:c r="W189" s="7" t="str">
        <x:v>TBV1-1174</x:v>
      </x:c>
    </x:row>
    <x:row r="190" ht="42" customHeight="1">
      <x:c r="A190" s="17" t="str">
        <x:v>B</x:v>
      </x:c>
      <x:c r="B190" s="7" t="str">
        <x:v>CWC-D33D3419276D</x:v>
      </x:c>
      <x:c r="C190" s="7" t="str">
        <x:v>Modelling the Dispersion of Seafloor Massive Sulphide Mining Plumes in the Mid Atlantic Ridge Around the Azores</x:v>
      </x:c>
      <x:c r="D190" s="7" t="str">
        <x:v>Telmo Morato | Manuela Juliano | Christopher K. Pham | Marina Carreiro‐Silva | Inês Martins | Ana Colaço</x:v>
      </x:c>
      <x:c r="E190" s="11" t="str">
        <x:v>2022</x:v>
      </x:c>
      <x:c r="F190" s="7" t="str">
        <x:v>Frontiers in Marine Science</x:v>
      </x:c>
      <x:c r="G190" s="7" t="str">
        <x:v>article</x:v>
      </x:c>
      <x:c r="H190" s="7" t="str">
        <x:v>10.3389/fmars.2022.910940</x:v>
      </x:c>
      <x:c r="I190" s="7" t="str">
        <x:v>https://doi.org/10.3389/fmars.2022.910940</x:v>
      </x:c>
      <x:c r="J190" s="7" t="str">
        <x:v>It is increasingly recognised that deep-sea mining of seafloor massive sulphides (SMS) could become an important source of mineral resources. These operations will remove the targeted substrate and produce potentially toxic plumes from in situ seabed excavation and from the return water pumped back down to the seafloor. However, the spatial extent of the impact of deep-sea mining is still uncertain because few field experiments and models of plume dispersion have been conducted. In this study, we used three-dimensional hydrodynamic models of the Azores region together with a theoretical commercial mining operation of polymetallic SMS to simulate the potential dispersal of plumes originating from different phases of mining operations, and to assess the magnitude of potential impacts. Although the model simulations presented here were subject to many caveats, they did reveal some important patterns. The model projected marked differences among sites making generalisations about plume-dispersal patterns in mid-ocean ridges difficult. Nevertheless, the models predicted large horizontal and vertical plume-dispersals above the thresholds adopted. Persistent plumes (temporal frequency &amp;gt;50%, i.e., 6 months out of 12 months) were projected to disperse an average linear distance of 10 to 20 km, cover an area of 17 to 150 km2, and extend more than 800 m in the water column. In fact, the model projected that plumes may disperse beyond the licensed mining areas, reach the flanks and summits of nearby topographic features, and extend into the bathypelagic, mesopelagic, and epipelagic environments. Modelled plume-dispersal overlaps with the predicted distribution of cold-water corals and with existing fishing activities. These potential impacts would be of particular concern in regions such as the Azores, where local populations are highly dependent on the sea for their livelihoods. The findings of this study are an important initial step towards understanding the nature and magnitude of deep-sea mining impacts in space and time.</x:v>
      </x:c>
      <x:c r="K190" s="11" t="str">
        <x:v>YES</x:v>
      </x:c>
      <x:c r="L190" s="7" t="str">
        <x:v>FROZEN_PUBLIC_FULL_TEXT_LOCATION</x:v>
      </x:c>
      <x:c r="M190" s="7" t="str">
        <x:v>https://www.frontiersin.org/articles/10.3389/fmars.2022.910940/pdf</x:v>
      </x:c>
      <x:c r="N190" s="7" t="str">
        <x:v>VERIFIED_DOI_DOCUMENT</x:v>
      </x:c>
      <x:c r="O190" s="7" t="str">
        <x:v>B01_DEEP_COLD_SEDIMENT_EVIDENCE</x:v>
      </x:c>
      <x:c r="P190" s="11" t="str">
        <x:v>HIGH</x:v>
      </x:c>
      <x:c r="Q190" s="7" t="str">
        <x:v>Cold-water corals (predicted distribution mentioned)</x:v>
      </x:c>
      <x:c r="R190" s="7" t="str">
        <x:v>Deep-sea mining plumes from seafloor massive sulphide excavation and return water, involving suspended particles and potential deposition/dispersal</x:v>
      </x:c>
      <x:c r="S190" s="7" t="str">
        <x:v>Modelled plume dispersal overlaps with predicted cold-water coral distribution; assesses magnitude of potential impacts on these corals</x:v>
      </x:c>
      <x:c r="T190" s="7" t="str">
        <x:v>B01_DEEP_COLD_SEDIMENT_EVIDENCE: Deep-sea/cold-water coral source with explicit sediment/plume pathway and impact evidence via overlap of modelled plumes with coral distribution.</x:v>
      </x:c>
      <x:c r="U190" s="7" t="str">
        <x:v>This record models the dispersion of deep-sea mining plumes (a sediment/suspended-particle pathway) and explicitly assesses overlap with predicted cold-water coral distribution, providing indirect impact evidence. It meets Tier B pathway B01, as it concerns a deep/cold coral source with a sediment-related stressor and ecological impact assessment, even though the response is modelled rather than measured. It is preferable to B02 because it is a modelling study rather than a review/assessment report, though it also has assessment qualities. Exclusion reasons do not apply: it is not merely physical plume modelling because it links to coral distribution and potential impacts. It is a substantive article, not a discovery webpage.</x:v>
      </x:c>
      <x:c r="V190" s="7" t="str">
        <x:v>ALL_VERIFIED_CENTRAL_PEER_REVIEWED</x:v>
      </x:c>
      <x:c r="W190" s="7" t="str">
        <x:v>TBV1-0122</x:v>
      </x:c>
    </x:row>
    <x:row r="191" ht="42" customHeight="1">
      <x:c r="A191" s="17" t="str">
        <x:v>B</x:v>
      </x:c>
      <x:c r="B191" s="7" t="str">
        <x:v>CWC-C0316A6DD2D3</x:v>
      </x:c>
      <x:c r="C191" s="7" t="str">
        <x:v>Molecular and functional bases of coordination in early branching metazoans – insights from physiology and investigations of potassium channels in the Porifera</x:v>
      </x:c>
      <x:c r="D191" s="7" t="str">
        <x:v>Tompkins MacDonald</x:v>
      </x:c>
      <x:c r="E191" s="11" t="str">
        <x:v>2010</x:v>
      </x:c>
      <x:c r="F191" s="7" t="str">
        <x:v>University of Alberta Library</x:v>
      </x:c>
      <x:c r="G191" s="7" t="str">
        <x:v>dissertation</x:v>
      </x:c>
      <x:c r="H191" s="7" t="str">
        <x:v>10.7939/r34q4v</x:v>
      </x:c>
      <x:c r="I191" s="7" t="str">
        <x:v>https://doi.org/10.7939/r34q4v</x:v>
      </x:c>
      <x:c r="J191" s="7" t="str">
        <x:v>Sponges are filter feeders that lack nerves and muscle but are nonetheless able to respond to changes in the ambient environment to control their feeding current. Cellular sponges undergo coordinated contractions that effectively expel debris. Syncytial sponges propagate action potentials through their tissue, causing immediate flagellar arrest. Understanding the basis of this coordination in sponges is of interest for the insight it provides on mechanisms of coordination in early branching animals. However, when I began this thesis no ion channels had been described from the Porifera. I adopted a multifaceted approach to studying the conduction system of sponges. This included cloning and characterizing potassium channels as a means to understanding the underlying ionic currents, and monitoring regulation of the sponge feeding current in response to environmental stimuli. The latter experiments provided a functional context. The glass sponges Rhabdocalyptus dawsoni and Aphrocallistes vastus arrest feeding in response to mechanical disturbance and to sediment in the incurrent water – suggesting a protective role. Monitoring patterns of feeding current arrests also revealed several features of the glass sponge conduction system: pacemaker activity, mechanosensitivity, distinct excitability thresholds, and tolerance to repeated stimuli. With access to the genome of the demosponge Amphimedon queenslandica I have also cloned and characterized the first sponge ion channels. Inward rectifier potassium (Kir) channels were prioritized for their role in regulating excitability. Kir channels cloned from A. queenslandica shared critical residues and a strong rectifying phenotype with Kir channels typically expressed in excitable cells. A variety of potassium channels from A. queenslandica indicate great diversity and a foundation for coordination at the dawn of the Metazoa</x:v>
      </x:c>
      <x:c r="K191" s="11" t="str">
        <x:v>NO</x:v>
      </x:c>
      <x:c r="L191" s="7" t="str">
        <x:v>NOT_CONFIRMED</x:v>
      </x:c>
      <x:c r="M191" s="7" t="str"/>
      <x:c r="N191" s="7" t="str">
        <x:v>VERIFIED_DOI_DOCUMENT</x:v>
      </x:c>
      <x:c r="O191" s="7" t="str">
        <x:v>B01_DEEP_COLD_SEDIMENT_EVIDENCE</x:v>
      </x:c>
      <x:c r="P191" s="11" t="str">
        <x:v>HIGH</x:v>
      </x:c>
      <x:c r="Q191" s="7" t="str">
        <x:v>Sponges (Porifera), specifically the glass sponges Rhabdocalyptus dawsoni and Aphrocallistes vastus, and the demosponge Amphimedon queenslandica.</x:v>
      </x:c>
      <x:c r="R191" s="7" t="str">
        <x:v>Sediment in the incurrent water, as well as mechanical disturbance, causing feeding arrest.</x:v>
      </x:c>
      <x:c r="S191" s="7" t="str">
        <x:v>Feeding current arrest, coordinated contractions, and flagellar arrest; the thesis provides evidence that sediment exposure triggers a protective feeding arrest response and examines the physiological basis of coordination.</x:v>
      </x:c>
      <x:c r="T191" s="7" t="str">
        <x:v>This dissertation provides explicit biological evidence of a sediment-related pathway (sediment in incurrent water) causing a relevant response (feeding arrest) in cold-water/deep-sea glass sponges. It meets the B01 criterion for a deep/cold sponge source with an explicit sediment pathway and biological impact evidence.</x:v>
      </x:c>
      <x:c r="U191" s="7" t="str">
        <x:v>The abstract clearly identifies deep/cold-water glass sponges responding to sediment with feeding arrest, a biologically relevant response to a sediment stressor. This is a substantive doctoral dissertation, not a discovery page or non-substantive record. The closest alternative would be B03 (non-tropical direct mechanism), but B01 is more specific because the species are deep/cold-water sponges and the evidence is explicitly sediment-related. Exclusions do not apply, as coral/sponge evidence and sediment pathway are both present and clearly evaluated.</x:v>
      </x:c>
      <x:c r="V191" s="7" t="str">
        <x:v>ALL_VERIFIED_NON_TROPICAL_TIER_B_INCLUSIONS</x:v>
      </x:c>
      <x:c r="W191" s="7" t="str">
        <x:v>TBV1-0178</x:v>
      </x:c>
    </x:row>
    <x:row r="192" ht="42" customHeight="1">
      <x:c r="A192" s="17" t="str">
        <x:v>B</x:v>
      </x:c>
      <x:c r="B192" s="7" t="str">
        <x:v>SUPP-SSV3-008</x:v>
      </x:c>
      <x:c r="C192" s="7" t="str">
        <x:v>Monitoring of Drilling Activities in Areas with Presence of Cold Water Corals</x:v>
      </x:c>
      <x:c r="D192" s="7" t="str">
        <x:v>Det Norske Veritas</x:v>
      </x:c>
      <x:c r="E192" s="11" t="str">
        <x:v>2013</x:v>
      </x:c>
      <x:c r="F192" s="7" t="str">
        <x:v>Norsk Olje og Gass, Report 2012-1691 / 12NCQKD-2, Rev. 01</x:v>
      </x:c>
      <x:c r="G192" s="7" t="str">
        <x:v>industry guideline</x:v>
      </x:c>
      <x:c r="H192" s="7" t="str"/>
      <x:c r="I192" s="7" t="str">
        <x:v>https://www.offshorenorge.no/contentassets/13d5d06ec9464156b2272551f0740db0/monitoring-of-drilling-activities---areas-with-cold-water-corals.pdf</x:v>
      </x:c>
      <x:c r="J192" s="7" t="str">
        <x:v>Guideline for monitoring drilling around cold-water coral occurrences. It discusses drill-cutting deposition, particle exposure, coral-survey distances and condition categories, and mitigation/monitoring, but may rely on cited literature rather than report a new biological response study.</x:v>
      </x:c>
      <x:c r="K192" s="11" t="str">
        <x:v>YES</x:v>
      </x:c>
      <x:c r="L192" s="7" t="str">
        <x:v>PUBLIC_FULL_DOCUMENT_LOCATION</x:v>
      </x:c>
      <x:c r="M192" s="7" t="str">
        <x:v>https://www.offshorenorge.no/contentassets/13d5d06ec9464156b2272551f0740db0/monitoring-of-drilling-activities---areas-with-cold-water-corals.pdf</x:v>
      </x:c>
      <x:c r="N192" s="7" t="str">
        <x:v>VERIFIED_DIRECT_DOCUMENT_URL</x:v>
      </x:c>
      <x:c r="O192" s="7" t="str">
        <x:v>B02_DEEP_COLD_REVIEW_ASSESSMENT</x:v>
      </x:c>
      <x:c r="P192" s="11" t="str">
        <x:v>HIGH</x:v>
      </x:c>
      <x:c r="Q192" s="7" t="str">
        <x:v>Cold-water corals are the explicit target organism of the guideline.</x:v>
      </x:c>
      <x:c r="R192" s="7" t="str">
        <x:v>Drill-cutting deposition and particle exposure from drilling activities are explicitly discussed as stressors.</x:v>
      </x:c>
      <x:c r="S192" s="7" t="str">
        <x:v>Provides monitoring guidance, coral-survey distances, condition categories, and mitigation/monitoring approaches.</x:v>
      </x:c>
      <x:c r="T192" s="7" t="str">
        <x:v>Substantive industry guideline/report focused on monitoring drilling impacts on cold-water corals, directly relevant to sediment-impact assessment and mitigation.</x:v>
      </x:c>
      <x:c r="U192" s="7" t="str">
        <x:v>This document is an identifiable substantive industry guideline (DNV report) specifically addressing monitoring of drilling activities near cold-water corals. The abstract explicitly mentions drill-cutting deposition and particle exposure as sediment pathways, and discusses coral-survey distances, condition categories, and mitigation/monitoring. This meets B02_DEEP_COLD_REVIEW_ASSESSMENT because it is a substantive report with a direct sediment-impact focus and clear potential to inform effects, exposure, thresholds, vulnerability, mitigation, or recovery. It is not merely a search page or news item. The closest alternative would be CHAIN_ONLY, but it is not needed because the record itself has clear Tier B content.</x:v>
      </x:c>
      <x:c r="V192" s="7" t="str">
        <x:v>ALL_VERIFIED_NON_TROPICAL_TIER_B_INCLUSIONS</x:v>
      </x:c>
      <x:c r="W192" s="7" t="str">
        <x:v>TBV1-0406</x:v>
      </x:c>
    </x:row>
    <x:row r="193" ht="42" customHeight="1">
      <x:c r="A193" s="17" t="str">
        <x:v>B</x:v>
      </x:c>
      <x:c r="B193" s="7" t="str">
        <x:v>CWC-9BFC61A48726</x:v>
      </x:c>
      <x:c r="C193" s="7" t="str">
        <x:v>Monitoring strategies for drill cutting discharge in the vicinity of cold-water coral ecosystems</x:v>
      </x:c>
      <x:c r="D193" s="7" t="str">
        <x:v>Autun Purser | Laurenz Thomsen</x:v>
      </x:c>
      <x:c r="E193" s="11" t="str">
        <x:v>2012</x:v>
      </x:c>
      <x:c r="F193" s="7" t="str">
        <x:v>Marine Pollution Bulletin</x:v>
      </x:c>
      <x:c r="G193" s="7" t="str">
        <x:v>article</x:v>
      </x:c>
      <x:c r="H193" s="7" t="str">
        <x:v>10.1016/j.marpolbul.2012.08.003</x:v>
      </x:c>
      <x:c r="I193" s="7" t="str">
        <x:v>https://doi.org/10.1016/j.marpolbul.2012.08.003</x:v>
      </x:c>
      <x:c r="J193" s="7" t="str">
        <x:v>Cold-water coral reefs represent some of the most biodiverse and biomass rich ecosystems in the marine environment. Despite this, ecosystem functioning is still poorly understood and the susceptibility of key species to anthropogenic activities and pollutants is unknown. In European waters, cold-water corals are often found in greatest abundance on the continental margin, often in regions rich in hydrocarbon reserves. In this viewpoint paper we discuss some of the current strategies employed in predicting and minimizing exposure of cold-water coral reef ecosystems on the Norwegian margin to waste materials produced during offshore drilling operations by the oil and gas industry. In the light of recent in situ and experimental research conducted with the key reef species Lophelia pertusa, we present some possible improvements to these strategies which may be utilized by industry and managers to further reduce the likelihood of exposure. We further highlight important outstanding research questions in this field. (C) 2012 Elsevier Ltd. All rights reserved.</x:v>
      </x:c>
      <x:c r="K193" s="11" t="str">
        <x:v>NO</x:v>
      </x:c>
      <x:c r="L193" s="7" t="str">
        <x:v>NOT_CONFIRMED</x:v>
      </x:c>
      <x:c r="M193" s="7" t="str"/>
      <x:c r="N193" s="7" t="str">
        <x:v>VERIFIED_DOI_DOCUMENT</x:v>
      </x:c>
      <x:c r="O193" s="7" t="str">
        <x:v>B02_DEEP_COLD_REVIEW_ASSESSMENT</x:v>
      </x:c>
      <x:c r="P193" s="11" t="str">
        <x:v>HIGH</x:v>
      </x:c>
      <x:c r="Q193" s="7" t="str">
        <x:v>Cold-water coral Lophelia pertusa</x:v>
      </x:c>
      <x:c r="R193" s="7" t="str">
        <x:v>Drill cutting discharge, drilling waste materials, potential sediment exposure</x:v>
      </x:c>
      <x:c r="S193" s="7" t="str">
        <x:v>Monitoring strategies to predict/minimize exposure; discussion of recent in situ and experimental research; research questions on susceptibility</x:v>
      </x:c>
      <x:c r="T193" s="7" t="str">
        <x:v>A substantive viewpoint/review paper focused on monitoring strategies for drill cutting discharge near cold-water coral ecosystems, explicitly addressing exposure minimization and research needs for Lophelia pertusa.</x:v>
      </x:c>
      <x:c r="U193" s="7" t="str">
        <x:v>This is a substantive viewpoint paper that directly addresses sediment-related impacts from drill cuttings on cold-water corals, specifically Lophelia pertusa. It reviews monitoring strategies and recent research, providing assessment-level information on exposure prediction and minimization. This fits B02 (deep/cold review/assessment) more than B01 because it is a procedural/review discussion rather than direct experimental evidence. The stressor is explicit (drill cutting discharge), the organism is explicit, and the assessment value is clear. No exclusion criteria apply. Confidence is high based on the abstract's explicit content.</x:v>
      </x:c>
      <x:c r="V193" s="7" t="str">
        <x:v>ALL_VERIFIED_CENTRAL_PEER_REVIEWED</x:v>
      </x:c>
      <x:c r="W193" s="7" t="str">
        <x:v>TBV1-0020</x:v>
      </x:c>
    </x:row>
    <x:row r="194" ht="42" customHeight="1">
      <x:c r="A194" s="17" t="str">
        <x:v>B</x:v>
      </x:c>
      <x:c r="B194" s="7" t="str">
        <x:v>CWC-8F20D43C1795</x:v>
      </x:c>
      <x:c r="C194" s="7" t="str">
        <x:v>Monitoring Strategies of Suspended Matter after Natural and Deep-Sea Mining Disturbances</x:v>
      </x:c>
      <x:c r="D194" s="7" t="str">
        <x:v>Sabine Haalboom</x:v>
      </x:c>
      <x:c r="E194" s="11" t="str">
        <x:v>2024</x:v>
      </x:c>
      <x:c r="F194" s="7" t="str"/>
      <x:c r="G194" s="7" t="str">
        <x:v>dissertation</x:v>
      </x:c>
      <x:c r="H194" s="7" t="str">
        <x:v>10.33540/2217</x:v>
      </x:c>
      <x:c r="I194" s="7" t="str">
        <x:v>https://doi.org/10.33540/2217</x:v>
      </x:c>
      <x:c r="J194" s="7" t="str">
        <x:v>The world’s oceans are increasingly under pressure from human activities, leading to warming and acidification of ocean waters, overexploitation of living resources, and uncontrolled dispersion of plastic litter and other pollutants. The advance of deep-sea mining poses yet another threat, especially to the unique, vulnerable, and largely unknown deep-sea life. The excavation of metal-rich mineral deposits from the deep-sea bed will not only remove hard substrate which deep-sea fauna like sponges and corals need for settlement; it will also produce sediment plumes which will be dispersed by currents, and which are expected to affect deep-sea life over a much wider area than the actually mined area. If deep-sea mining will be given green light, strict monitoring of these sediment plumes will be needed to ensure that the dispersal of sediment plumes and concentrations of suspended particulate matter (SPM) therein will not exceed prescribed thresholds. In my PhD research I have explored strategies for effective monitoring of sediment plumes produced by deep-sea mining, with a focus on different sensor types that can be used for measuring SPM and how these sensors can best be deployed in monitoring. Field experiments in which the performance of commonly used turbidity sensors was tested in different setups and were carried out in the Whittard Canyon and the Rainbow hydrothermal vent field in the Atlantic Ocean, where enhanced suspended particle concentrations occur naturally, thereby serving as “natural laboratories”, and in the Mediterranean Sea offshore southern Spain and the Clarion-Clipperton Zone in the Pacific Ocean, where sediment plumes were produced artificially.</x:v>
      </x:c>
      <x:c r="K194" s="11" t="str">
        <x:v>YES</x:v>
      </x:c>
      <x:c r="L194" s="7" t="str">
        <x:v>FROZEN_PUBLIC_FULL_TEXT_LOCATION</x:v>
      </x:c>
      <x:c r="M194" s="7" t="str">
        <x:v>https://dspace.library.uu.nl/bitstream/handle/1874/452185/20240507%20-%20thesis%20sabine%20haalboom%20%20cover%20-%20663e7dd31ec17.pdf?sequence=1&amp;isAllowed=y</x:v>
      </x:c>
      <x:c r="N194" s="7" t="str">
        <x:v>VERIFIED_DOI_DOCUMENT</x:v>
      </x:c>
      <x:c r="O194" s="7" t="str">
        <x:v>B02_DEEP_COLD_REVIEW_ASSESSMENT</x:v>
      </x:c>
      <x:c r="P194" s="11" t="str">
        <x:v>HIGH</x:v>
      </x:c>
      <x:c r="Q194" s="7" t="str">
        <x:v>Explicitly mentions deep-sea fauna like sponges and corals that need hard substrate for settlement and are expected to be affected by sediment plumes from deep-sea mining.</x:v>
      </x:c>
      <x:c r="R194" s="7" t="str">
        <x:v>Sediment plumes and suspended particulate matter (SPM) from deep-sea mining and natural disturbances, including field experiments in natural and artificially produced plume settings.</x:v>
      </x:c>
      <x:c r="S194" s="7" t="str">
        <x:v>The thesis focuses on monitoring sediment plumes to ensure SPM concentrations do not exceed prescribed thresholds, providing assessment/monitoring evidence for deep-sea life. Includes sensor performance tests in relevant deep-sea environments.</x:v>
      </x:c>
      <x:c r="T194" s="7" t="str">
        <x:v>B02_DEEP_COLD_REVIEW_ASSESSMENT: A substantive PhD dissertation with direct sediment-impact focus on monitoring and threshold assessment for deep-sea mining plumes relevant to corals and sponges.</x:v>
      </x:c>
      <x:c r="U194" s="7" t="str">
        <x:v>This is a PhD dissertation directly addressing monitoring strategies for suspended particulate matter after deep-sea mining disturbances. It explicitly identifies sponges and corals as deep-sea fauna requiring hard substrate and likely to be affected by sediment plumes. The work includes field experiments on turbidity sensors in natural and artificial plume settings and discusses thresholds for SPM concentrations. This qualifies as a substantive assessment/monitoring document with direct sediment-impact relevance under B02. The alternative B01 also applies, but B02 is a better fit because the document is a thesis specifically designed to inform monitoring and regulatory thresholds.</x:v>
      </x:c>
      <x:c r="V194" s="7" t="str">
        <x:v>ALL_VERIFIED_NON_TROPICAL_TIER_B_INCLUSIONS</x:v>
      </x:c>
      <x:c r="W194" s="7" t="str">
        <x:v>TBV1-1451</x:v>
      </x:c>
    </x:row>
    <x:row r="195" ht="42" customHeight="1">
      <x:c r="A195" s="17" t="str">
        <x:v>B</x:v>
      </x:c>
      <x:c r="B195" s="7" t="str">
        <x:v>CWC-6098F4271A67</x:v>
      </x:c>
      <x:c r="C195" s="7" t="str">
        <x:v>Mushroom corals overcome live burial through pulsed inflation</x:v>
      </x:c>
      <x:c r="D195" s="7" t="str">
        <x:v>Pim Bongaerts | Bert W. Hoeksema | Kyra B. Hay | Ove Hoegh‐Guldberg</x:v>
      </x:c>
      <x:c r="E195" s="11" t="str">
        <x:v>2012</x:v>
      </x:c>
      <x:c r="F195" s="7" t="str">
        <x:v>Coral Reefs</x:v>
      </x:c>
      <x:c r="G195" s="7" t="str">
        <x:v>article</x:v>
      </x:c>
      <x:c r="H195" s="7" t="str">
        <x:v>10.1007/s00338-011-0862-z</x:v>
      </x:c>
      <x:c r="I195" s="7" t="str">
        <x:v>https://doi.org/10.1007/s00338-011-0862-z</x:v>
      </x:c>
      <x:c r="J195" s="7" t="str">
        <x:v># Mushroom corals overcome live burial through pulsed inflation. Fungiid corals appear to be an exception, as they can remove sediments through substantial polyp inflation (up to five times their normal size) in addition to mucus entanglement and ciliary action (Schuhmacher 1977 Ability in fungiid corals to overcome sedimentation. Proc 3rd Int Coral Reef Symp 1:503–509")). Using time-lapse photography (speeding up time 300×), we observed that this inflation occurs in rhythmic pulses (Fig. 1), allowing corals to completely exhume themselves after becoming covered in sand. Specimens of *Lobactis</x:v>
      </x:c>
      <x:c r="K195" s="11" t="str">
        <x:v>YES</x:v>
      </x:c>
      <x:c r="L195" s="7" t="str">
        <x:v>FROZEN_PUBLIC_FULL_TEXT_LOCATION</x:v>
      </x:c>
      <x:c r="M195" s="7" t="str">
        <x:v>https://link.springer.com/content/pdf/10.1007/s00338-011-0862-z.pdf</x:v>
      </x:c>
      <x:c r="N195" s="7" t="str">
        <x:v>VERIFIED_DOI_DOCUMENT</x:v>
      </x:c>
      <x:c r="O195" s="7" t="str">
        <x:v>B04_TROPICAL_PHYSICAL_SEDIMENT_ANALOGUE</x:v>
      </x:c>
      <x:c r="P195" s="11" t="str">
        <x:v>HIGH</x:v>
      </x:c>
      <x:c r="Q195" s="7" t="str">
        <x:v>Mushroom corals (Fungiidae), specifically Lobactis</x:v>
      </x:c>
      <x:c r="R195" s="7" t="str">
        <x:v>Live burial in sand; physical sediment exposure and smothering</x:v>
      </x:c>
      <x:c r="S195" s="7" t="str">
        <x:v>Pulsed polyp inflation up to five times normal size, allowing complete self-exhumation after burial; behavior relevant to sediment clearing and recovery</x:v>
      </x:c>
      <x:c r="T195" s="7" t="str">
        <x:v>Tropical coral study directly observing and documenting a biological response to physical sediment burial (pulsed inflation and exhumation), meeting B04 as a direct sediment analogue with a clearly relevant response.</x:v>
      </x:c>
      <x:c r="U195" s="7" t="str">
        <x:v>This article reports direct observations of mushroom corals (Lobactis) using rhythmic, substantial inflation to shed sand and fully exhume themselves after being buried. The stressor is explicit physical sediment burial, and the response is a behavioral/physiological mechanism facilitating survival and recovery. Because the corals are tropical and the study experimentally/observationally tests sediment exposure with a relevant biological response, it qualifies under B04. It is not merely a mention of sediment; the entire focus is the burial response. No other exclusion applies.</x:v>
      </x:c>
      <x:c r="V195" s="7" t="str">
        <x:v>SPARING_TOP_25_TROPICAL_DIRECT_PHYSICAL_ANALOGUES</x:v>
      </x:c>
      <x:c r="W195" s="7" t="str">
        <x:v>TBV1-0171</x:v>
      </x:c>
    </x:row>
    <x:row r="196" ht="42" customHeight="1">
      <x:c r="A196" s="17" t="str">
        <x:v>B</x:v>
      </x:c>
      <x:c r="B196" s="7" t="str">
        <x:v>CWC-FA6A2B921E3D</x:v>
      </x:c>
      <x:c r="C196" s="7" t="str">
        <x:v>Near-bed particle deposition and resuspension in a cold-water coral mound area at the Southwest Rockall Trough margin, NE Atlantic</x:v>
      </x:c>
      <x:c r="D196" s="7" t="str">
        <x:v>Furu Mienis | Henko de Stigter | H. de Haas | Tj.C.E. van Weering</x:v>
      </x:c>
      <x:c r="E196" s="11" t="str">
        <x:v>2009</x:v>
      </x:c>
      <x:c r="F196" s="7" t="str">
        <x:v>Deep Sea Research Part I Oceanographic Research Papers</x:v>
      </x:c>
      <x:c r="G196" s="7" t="str">
        <x:v>article</x:v>
      </x:c>
      <x:c r="H196" s="7" t="str">
        <x:v>10.1016/j.dsr.2009.01.006</x:v>
      </x:c>
      <x:c r="I196" s="7" t="str">
        <x:v>https://doi.org/10.1016/j.dsr.2009.01.006</x:v>
      </x:c>
      <x:c r="J196" s="7" t="str">
        <x:v>Cold-water coral reefs and mounds are observed mainly on slopes and topographic highs, in areas with high current speeds. Previous investigations of the near-bed hydrodynamic regime around cold-water coral mounds at the Southwest Rockall Trough margin have revealed the presence of internal waves with a diurnal tidal frequency. Hitherto only short-term measurements existed on the particle supply to the corals and data are lacking on the seasonal variability. Bottom landers equipped with sensors recording near-bottom current dynamics were deployed at two sites in a mound area on the Southwest Rockall Trough margin, one with a dense coral cover and one without coral cover. At both sites a similar seasonal variation in internal-wave activity was recorded with high activity during winter and summer months and less dynamic conditions in spring and autumn. Increased intensity of internal-wave activity, reflected in higher average near-bottom current speed and amplitude of daily temperature fluctuations, results in higher mass fluxes as recorded in the sediment traps. On the site without coral cover, mass fluxes are two times higher, compared to the site with dense coral cover. During periods of high mass fluxes a predominance of resuspended material was observed at both sites, as indicated by reduced Pb-210 activity and low organic matter concentrations. The flux of resuspended material largely masked the primary pelagic signal. However, low delta N-15 values in early spring and summer marked the arrival of fresh particles on both sites. A dense coral framework, baffling a large amount of particles settling between the coral branches, results in differences in particle flux, chemical composition and freshness of the trapped material. On the long term the presence of a coral framework plays a crucial role in the build-up of cold-water coral mounds. (C) 2009 Elsevier Ltd. All rights reserved.</x:v>
      </x:c>
      <x:c r="K196" s="11" t="str">
        <x:v>NO</x:v>
      </x:c>
      <x:c r="L196" s="7" t="str">
        <x:v>NOT_CONFIRMED</x:v>
      </x:c>
      <x:c r="M196" s="7" t="str"/>
      <x:c r="N196" s="7" t="str">
        <x:v>VERIFIED_DOI_DOCUMENT</x:v>
      </x:c>
      <x:c r="O196" s="7" t="str">
        <x:v>B01_DEEP_COLD_SEDIMENT_EVIDENCE</x:v>
      </x:c>
      <x:c r="P196" s="11" t="str">
        <x:v>HIGH</x:v>
      </x:c>
      <x:c r="Q196" s="7" t="str">
        <x:v>Cold-water corals (framework-forming) at a mound area in the Southwest Rockall Trough margin; sites with dense coral cover vs no coral cover.</x:v>
      </x:c>
      <x:c r="R196" s="7" t="str">
        <x:v>Near-bed particle deposition and resuspension, increased internal-wave activity, higher mass fluxes, predominance of resuspended material.</x:v>
      </x:c>
      <x:c r="S196" s="7" t="str">
        <x:v>Ecological evidence of coral framework baffling settling particles and influencing particle flux, chemical composition, and mound build-up; no direct physiological coral response reported.</x:v>
      </x:c>
      <x:c r="T196" s="7" t="str">
        <x:v>Explicit deep-sea cold-water coral setting with sediment deposition/resuspension pathway and ecological evidence of sediment trapping and mound development, meeting B01.</x:v>
      </x:c>
      <x:c r="U196" s="7" t="str">
        <x:v>This is a substantive study of near-bed sediment dynamics at a cold-water coral mound area. It describes a clear sediment pathway (deposition and resuspension) and provides ecological evidence: the presence of a coral framework influences particle trapping, flux, and mound build-up. While it does not measure a classic stress response (e.g., growth or mortality), the ecological interactions between corals and sediment qualify under B01's broad 'biological or ecological evidence' criterion. It is not merely a physical transport study because it explicitly compares coral-covered and bare sites and discusses the coral framework's role in sediment baffling. The alternative CHAIN_ONLY would be inappropriate because the abstract contains direct coral-sediment content. Therefore, Tier B include is justified.</x:v>
      </x:c>
      <x:c r="V196" s="7" t="str">
        <x:v>ALL_VERIFIED_CENTRAL_PEER_REVIEWED</x:v>
      </x:c>
      <x:c r="W196" s="7" t="str">
        <x:v>TBV1-0058</x:v>
      </x:c>
    </x:row>
    <x:row r="197" ht="42" customHeight="1">
      <x:c r="A197" s="17" t="str">
        <x:v>B</x:v>
      </x:c>
      <x:c r="B197" s="7" t="str">
        <x:v>CWC-ECD90E3C96E1</x:v>
      </x:c>
      <x:c r="C197" s="7" t="str">
        <x:v>A new laboratory method for monitoring deep-water coral polyp behaviour</x:v>
      </x:c>
      <x:c r="D197" s="7" t="str">
        <x:v>J. Murray Roberts | Robert Anderson</x:v>
      </x:c>
      <x:c r="E197" s="11" t="str">
        <x:v>2002</x:v>
      </x:c>
      <x:c r="F197" s="7" t="str">
        <x:v>Hydrobiologia</x:v>
      </x:c>
      <x:c r="G197" s="7" t="str">
        <x:v>article</x:v>
      </x:c>
      <x:c r="H197" s="7" t="str">
        <x:v>10.1023/a:1016513607002</x:v>
      </x:c>
      <x:c r="I197" s="7" t="str">
        <x:v>https://doi.org/10.1023/a:1016513607002</x:v>
      </x:c>
      <x:c r="J197" s="7" t="str">
        <x:v>Deep-water corals are found along the oceanic margins world-wide and in the north east Atlantic the most abundant species is Lophelia pertusa (L.). There is now growing evidence that deep-water reefs formed by such species are coming under increasing pressures from resource exploitation, principally deep-sea trawling and hydrocarbon exploration. Here a novel and unobtrusive method of recording deep-water coral behaviour in the laboratory is described using time-lapse video to record silhouettes of the polyps under infrared illumination. The polyps of L. pertusa behaved asynchronously and did not show any clear diurnal patterns over a three-day observation period. Conceptually, sessile benthic suspension feeders appear to be vulnerable to smothering by sediments disturbed by bottom trawls or sub-seabed drilling. This method allows deep-water coral polyp behaviour to be continuously monitored in the laboratory and, therefore, the responses of coral polyps to environmental perturbations such as sedimentation can be recorded. Further work is necessary to resolve the sensitivity of deep-water corals to short-term environmental change and the combined approach of in situ monitoring and subsequent laboratory experimentation has great potential to address these issues.</x:v>
      </x:c>
      <x:c r="K197" s="11" t="str">
        <x:v>NO</x:v>
      </x:c>
      <x:c r="L197" s="7" t="str">
        <x:v>NOT_CONFIRMED</x:v>
      </x:c>
      <x:c r="M197" s="7" t="str"/>
      <x:c r="N197" s="7" t="str">
        <x:v>VERIFIED_DOI_DOCUMENT</x:v>
      </x:c>
      <x:c r="O197" s="7" t="str">
        <x:v>B01_DEEP_COLD_SEDIMENT_EVIDENCE</x:v>
      </x:c>
      <x:c r="P197" s="11" t="str">
        <x:v>MEDIUM</x:v>
      </x:c>
      <x:c r="Q197" s="7" t="str">
        <x:v>Lophelia pertusa, a deep-water (cold-water) coral</x:v>
      </x:c>
      <x:c r="R197" s="7" t="str">
        <x:v>Sedimentation/smothering by sediments disturbed by bottom trawling or sub-seabed drilling</x:v>
      </x:c>
      <x:c r="S197" s="7" t="str">
        <x:v>Laboratory time-lapse video method to record polyp behaviour; concept that deep-water corals are vulnerable to smothering; method designed to record responses to environmental perturbations such as sedimentation</x:v>
      </x:c>
      <x:c r="T197" s="7" t="str">
        <x:v>B01_DEEP_COLD_SEDIMENT_EVIDENCE</x:v>
      </x:c>
      <x:c r="U197" s="7" t="str">
        <x:v>Deep-water coral Lophelia pertusa; sediment smothering pathway from bottom trawls or sub-seabed drilling is explicitly identified. The paper presents a time-lapse infrared video method to continuously monitor polyp behaviour, intended to record responses to sedimentation in the laboratory. This supplies monitoring evidence and directly supports future sediment-impact testing. It qualifies under B01_DEEP_COLD_SEDIMENT_EVIDENCE because the source is a deep/cold coral with an explicit sediment pathway and a monitoring/behavioural response framework. Excluded alternatives: EXCLUDE is inappropriate because the sediment–coral linkage is substantive; CHAIN_ONLY would undervalue the explicit methodological contribution to sediment-response monitoring.</x:v>
      </x:c>
      <x:c r="V197" s="7" t="str">
        <x:v>ALL_VERIFIED_CENTRAL_PEER_REVIEWED</x:v>
      </x:c>
      <x:c r="W197" s="7" t="str">
        <x:v>TBV1-0030</x:v>
      </x:c>
    </x:row>
    <x:row r="198" ht="42" customHeight="1">
      <x:c r="A198" s="17" t="str">
        <x:v>B</x:v>
      </x:c>
      <x:c r="B198" s="7" t="str">
        <x:v>GLV4-C8E6184886E3</x:v>
      </x:c>
      <x:c r="C198" s="7" t="str">
        <x:v>Norway's integrated ocean management plans</x:v>
      </x:c>
      <x:c r="D198" s="7" t="str"/>
      <x:c r="E198" s="11" t="str"/>
      <x:c r="F198" s="7" t="str">
        <x:v>regjeringen.no</x:v>
      </x:c>
      <x:c r="G198" s="7" t="str">
        <x:v>report</x:v>
      </x:c>
      <x:c r="H198" s="7" t="str"/>
      <x:c r="I198" s="7" t="str">
        <x:v>https://www.regjeringen.no/contentassets/9c72daf967d54641bcc1fe7793a85659/en-gb/pdfs/stm202320240021000engpdfs.pdf</x:v>
      </x:c>
      <x:c r="J198" s="7" t="str">
        <x:v>108 Meld. St. 21 (2023–2024) Report to the Storting (white paper) 2023–2024 Norway’s integrated ocean management plans Petroleum activity can put pressure on vulner­ able benthic fauna such as corals and sponges, for example through deposition of drill cuttings. Corals and other benthic fauna can also be dam­ aged when pipes and cables are laid and anchor chains and other installations are placed on the seabed. Operators are therefore required to sur­ vey any coral reefs and other valuable benthic communities that may be affected by petroleum activities and ensure that they are not damaged. [.</x:v>
      </x:c>
      <x:c r="K198" s="11" t="str">
        <x:v>YES</x:v>
      </x:c>
      <x:c r="L198" s="7" t="str">
        <x:v>PUBLIC_FULL_DOCUMENT_LOCATION</x:v>
      </x:c>
      <x:c r="M198" s="7" t="str">
        <x:v>https://www.regjeringen.no/contentassets/9c72daf967d54641bcc1fe7793a85659/en-gb/pdfs/stm202320240021000engpdfs.pdf</x:v>
      </x:c>
      <x:c r="N198" s="7" t="str">
        <x:v>VERIFIED_DIRECT_DOCUMENT_URL</x:v>
      </x:c>
      <x:c r="O198" s="7" t="str">
        <x:v>B02_DEEP_COLD_REVIEW_ASSESSMENT</x:v>
      </x:c>
      <x:c r="P198" s="11" t="str">
        <x:v>HIGH</x:v>
      </x:c>
      <x:c r="Q198" s="7" t="str">
        <x:v>Deep-sea/cold-water corals and sponges are explicitly named as vulnerable benthic fauna potentially affected by petroleum activities in Norway's ocean management areas.</x:v>
      </x:c>
      <x:c r="R198" s="7" t="str">
        <x:v>Explicit sediment-related pathway: deposition of drill cuttings; also physical disturbance from pipes/cables/anchor chains.</x:v>
      </x:c>
      <x:c r="S198" s="7" t="str">
        <x:v>A regulatory/management assessment requiring operators to survey coral reefs and valuable benthic communities and ensure they are not damaged; indicates prevention/mitigation focus.</x:v>
      </x:c>
      <x:c r="T198" s="7" t="str">
        <x:v>Substantive government white paper (Report to the Storting) on integrated ocean management with direct sediment-impact focus on corals and sponges, fitting B02_DEEP_COLD_REVIEW_ASSESSMENT as a regulatory assessment with potential to inform effects, exposure, thresholds, and mitigation.</x:v>
      </x:c>
      <x:c r="U198" s="7" t="str">
        <x:v>This is a Norwegian government white paper on integrated ocean management plans that explicitly addresses petroleum pressure on vulnerable benthic fauna, including corals and sponges, with an example pathway of drill cuttings deposition. It represents a substantive regulatory assessment/report with a direct sediment-impact focus and clear management implications (surveys to protect valuable benthic communities). The document is deep/cold in context (Norwegian ocean management covering cold-water coral habitats). It qualifies under B02_DEEP_COLD_REVIEW_ASSESSMENT rather than B01 because it is not primary experimental or monitoring evidence of organism response, but a synthesized assessment. It should not be excluded because the sediment pathway (drill cuttings) and target organisms (corals/sponges) are explicit, and the report provides assessment and mitigation value relevant to the review.</x:v>
      </x:c>
      <x:c r="V198" s="7" t="str">
        <x:v>ALL_VERIFIED_NON_TROPICAL_TIER_B_INCLUSIONS</x:v>
      </x:c>
      <x:c r="W198" s="7" t="str">
        <x:v>TBV1-0750</x:v>
      </x:c>
    </x:row>
    <x:row r="199" ht="42" customHeight="1">
      <x:c r="A199" s="17" t="str">
        <x:v>B</x:v>
      </x:c>
      <x:c r="B199" s="7" t="str">
        <x:v>CWC-9E8E769BB6C1</x:v>
      </x:c>
      <x:c r="C199" s="7" t="str">
        <x:v>Nutrient and sediment loading affect multiple facets of coral functionality in a tropical branching coral</x:v>
      </x:c>
      <x:c r="D199" s="7" t="str">
        <x:v>Danielle M. Becker | Nyssa J. Silbiger</x:v>
      </x:c>
      <x:c r="E199" s="11" t="str">
        <x:v>2020</x:v>
      </x:c>
      <x:c r="F199" s="7" t="str">
        <x:v>Journal of Experimental Biology</x:v>
      </x:c>
      <x:c r="G199" s="7" t="str">
        <x:v>article</x:v>
      </x:c>
      <x:c r="H199" s="7" t="str">
        <x:v>10.1242/jeb.225045</x:v>
      </x:c>
      <x:c r="I199" s="7" t="str">
        <x:v>https://doi.org/10.1242/jeb.225045</x:v>
      </x:c>
      <x:c r="J199" s="7" t="str">
        <x:v>ABSTRACT Coral reefs, one of the most diverse ecosystems in the world, face increasing pressures from global and local anthropogenic stressors. Therefore, a better understanding of the ecological ramifications of warming and land-based inputs (e.g. sedimentation and nutrient loading) on coral reef ecosystems is necessary. In this study, we measured how a natural nutrient and sedimentation gradient affected multiple facets of coral functionality, including endosymbiont and coral host response variables, holobiont metabolic responses and percent cover of Pocillopora acuta colonies in Mo′orea, French Polynesia. We used thermal performance curves to quantify the relationship between metabolic rates and temperature along the environmental gradient. We found that algal endosymbiont percent nitrogen content, endosymbiont densities and total chlorophyll a content increased with nutrient input, while endosymbiont nitrogen content per cell decreased, likely representing competition among the algal endosymbionts. Nutrient and sediment loading decreased coral metabolic responses to thermal stress in terms of their thermal performance and metabolic rate processes. The acute thermal optimum for dark respiration decreased, along with the maximal performance for gross photosynthetic and calcification rates. Gross photosynthetic and calcification rates normalized to a reference temperature (26.8﻿°C) decreased along the gradient. Lastly, percent cover of P. acuta colonies decreased by nearly two orders of magnitude along the nutrient gradient. These findings illustrate that nutrient and sediment loading affect multiple levels of coral functionality. Understanding how local-scale anthropogenic stressors influence the responses of corals to temperature can inform coral reef management, particularly in relation to the mediation of land-based inputs into coastal coral reef ecosystems. Summary: Nutrient and sediment loading decreased thermal performance and increased endosymbiont competition in the branching coral Pocillopora acuta, with elevated sites having lower percent cover in Mo′orea, French Polynesia.</x:v>
      </x:c>
      <x:c r="K199" s="11" t="str">
        <x:v>YES</x:v>
      </x:c>
      <x:c r="L199" s="7" t="str">
        <x:v>FROZEN_PUBLIC_FULL_TEXT_LOCATION</x:v>
      </x:c>
      <x:c r="M199" s="7" t="str">
        <x:v>https://journals.biologists.com/jeb/article-pdf/223/21/jeb225045/1983083/jeb225045.pdf</x:v>
      </x:c>
      <x:c r="N199" s="7" t="str">
        <x:v>VERIFIED_DOI_DOCUMENT</x:v>
      </x:c>
      <x:c r="O199" s="7" t="str">
        <x:v>B04_TROPICAL_PHYSICAL_SEDIMENT_ANALOGUE</x:v>
      </x:c>
      <x:c r="P199" s="11" t="str">
        <x:v>HIGH</x:v>
      </x:c>
      <x:c r="Q199" s="7" t="str">
        <x:v>Tropical branching coral Pocillopora acuta in Mo'orea, French Polynesia.</x:v>
      </x:c>
      <x:c r="R199" s="7" t="str">
        <x:v>Natural nutrient and sediment loading gradient from land-based inputs, including sedimentation.</x:v>
      </x:c>
      <x:c r="S199" s="7" t="str">
        <x:v>Measured multiple coral functionality facets: endosymbiont density, nitrogen content, chlorophyll a, holobiont metabolic responses, thermal performance curves, gross photosynthesis, calcification, dark respiration, and percent cover. Sediment/nutrient loading reduced thermal performance and percent cover.</x:v>
      </x:c>
      <x:c r="T199" s="7" t="str">
        <x:v>Directly measures physical sediment/nutrient exposure along a gradient and reports biological responses in a tropical coral, satisfying B04 as a tropical physical sediment analogue.</x:v>
      </x:c>
      <x:c r="U199" s="7" t="str">
        <x:v>This paper explicitly evaluates how a natural gradient of nutrient and sediment loading affects multiple facets of coral functionality, including metabolism, photosynthesis, calcification, and percent cover in the tropical coral Pocillopora acuta. The sediment pathway is central to the study design, and the responses are directly relevant biological effects. This qualifies under B04 because it experimentally/analytically tests physical sediment exposure and reports relevant coral responses, even though it also includes nutrients. It is not merely mention of sediment; sediment loading is a key driver. Therefore, include.</x:v>
      </x:c>
      <x:c r="V199" s="7" t="str">
        <x:v>SPARING_TOP_25_TROPICAL_DIRECT_PHYSICAL_ANALOGUES</x:v>
      </x:c>
      <x:c r="W199" s="7" t="str">
        <x:v>TBV1-1180</x:v>
      </x:c>
    </x:row>
    <x:row r="200" ht="42" customHeight="1">
      <x:c r="A200" s="17" t="str">
        <x:v>B</x:v>
      </x:c>
      <x:c r="B200" s="7" t="str">
        <x:v>CWC-F2F3CDA32CE9</x:v>
      </x:c>
      <x:c r="C200" s="7" t="str">
        <x:v>Oceanographic habitat of sponge reefs on the Western Canadian Continental Shelf</x:v>
      </x:c>
      <x:c r="D200" s="7" t="str">
        <x:v>F. Whitney; K. Conway; R. Thomson; V. Barrie; M. Krautter; G. Mungov</x:v>
      </x:c>
      <x:c r="E200" s="11" t="str">
        <x:v>2005</x:v>
      </x:c>
      <x:c r="F200" s="7" t="str">
        <x:v>CONTINENTAL SHELF RESEARCH</x:v>
      </x:c>
      <x:c r="G200" s="7" t="str">
        <x:v>JOUR</x:v>
      </x:c>
      <x:c r="H200" s="7" t="str">
        <x:v>10.1016/j.csr.2004.09.003</x:v>
      </x:c>
      <x:c r="I200" s="7" t="str">
        <x:v>https://doi.org/10.1016/j.csr.2004.09.003</x:v>
      </x:c>
      <x:c r="J200" s="7" t="str">
        <x:v>This paper describes oceanographic conditions in which siliceous (Hexactinellida, Hexactinosida) sponge reefs thrive near the heads of shelf canyons on the west coast of Canada. Unique in the present world ocean, these colonies consist of mounds (bioherms) up to 21 m in height and beds (biostromes), which extend for tens of kilometers at depths between 140 and 240 m. The relaxation of winter downwelling and occasional weak summer upwelling enhances northward up-canyon intrusions of nutrient rich bottom waters in Hecate Strait. As bottom waters cross the shelf, they are further enriched with nutrients and depleted in oxygen by remineralization processes. Silicate concentrations in waters around sponge reefs are thus enhanced during what is likely the sponge's main growing season. Bottom waters in the vicinity of the sponge reefs contain 43-75 muM silicate and 64-152 muM dissolved oxygen, and have a temperature range of 5.5-7.3 C and a salinity range of 33.2-34.2. Canyons harbouring the sponge reefs provide a means of concentrating particulate material that the sponges can use to enrich their habitat. Detrital rain supplies particulates to canyons in what appears to be tidally modulated pulses. Particulate material entrained in near bottom currents has a residence time of approximately 6 days in contact with the largest sponge reef and is effectively trapped by sponges, which enhances mound construction. A simple budget of Si uptake by the 425 km(2) area of the northern sponge reef shows that it has slight impact on the Si budget of this region. Scour by the similar to25 cm s(-1) bottom tidal currents eliminates sediment accumulation on the reefs and the surrounding seabed. (C) 2004 Elsevier Ltd. All rights reserved.</x:v>
      </x:c>
      <x:c r="K200" s="11" t="str">
        <x:v>NO</x:v>
      </x:c>
      <x:c r="L200" s="7" t="str">
        <x:v>NOT_CONFIRMED</x:v>
      </x:c>
      <x:c r="M200" s="7" t="str"/>
      <x:c r="N200" s="7" t="str">
        <x:v>VERIFIED_DOI_DOCUMENT</x:v>
      </x:c>
      <x:c r="O200" s="7" t="str">
        <x:v>B01_DEEP_COLD_SEDIMENT_EVIDENCE</x:v>
      </x:c>
      <x:c r="P200" s="11" t="str">
        <x:v>HIGH</x:v>
      </x:c>
      <x:c r="Q200" s="7" t="str">
        <x:v>Cold-water siliceous sponges (Hexactinellida, Hexactinosida) forming reefs in shelf canyons at 140-240 m depth off western Canada.</x:v>
      </x:c>
      <x:c r="R200" s="7" t="str">
        <x:v>Sediment/particulate material: detrital rain, tidal pulsing, canyon concentration, near-bottom currents (25 cm/s) causing scour and influencing sediment accumulation on and around reefs.</x:v>
      </x:c>
      <x:c r="S200" s="7" t="str">
        <x:v>Sponges trap particulate material, use it to enrich habitat, and enhance mound construction; sediment scour prevents burial and supports reef maintenance; reef growth season linked to enhanced silicate from remineralized bottom waters.</x:v>
      </x:c>
      <x:c r="T200" s="7" t="str">
        <x:v>B01_DEEP_COLD_SEDIMENT_EVIDENCE: A deep/cold sponge source with explicit sediment/particulate pathway and biological/ecological response evidence (habitat enrichment, trapping, reef construction, avoidance of sediment accumulation).</x:v>
      </x:c>
      <x:c r="U200" s="7" t="str">
        <x:v>This journal article describes oceanographic conditions around deep-sea sponge reefs, explicitly linking sediment/particulate dynamics to sponge habitat and reef construction. It qualifies under B01 because it provides biological/ecological evidence (particle trapping, habitat enrichment, mound construction) for a sediment pathway in a cold-water sponge system. Although it also covers physical oceanography, the sediment-sponge interaction is central. It is not merely a distribution or geological study; it discusses how particulate material is used by sponges and how scour prevents sediment accumulation, directly relevant to sediment effects. The alternative decisions (CHAIN_ONLY or EXCLUDE) are not appropriate because the sediment-mediated biological response is clear.</x:v>
      </x:c>
      <x:c r="V200" s="7" t="str">
        <x:v>ALL_VERIFIED_NON_TROPICAL_TIER_B_INCLUSIONS</x:v>
      </x:c>
      <x:c r="W200" s="7" t="str">
        <x:v>TBV1-0124</x:v>
      </x:c>
    </x:row>
    <x:row r="201" ht="42" customHeight="1">
      <x:c r="A201" s="17" t="str">
        <x:v>B</x:v>
      </x:c>
      <x:c r="B201" s="7" t="str">
        <x:v>GLV4-E2B2EA83FF89</x:v>
      </x:c>
      <x:c r="C201" s="7" t="str">
        <x:v>Oceanography and Marine Biology - ResearchOnline@JCU</x:v>
      </x:c>
      <x:c r="D201" s="7" t="str"/>
      <x:c r="E201" s="11" t="str"/>
      <x:c r="F201" s="7" t="str">
        <x:v>researchonline.jcu.edu.au</x:v>
      </x:c>
      <x:c r="G201" s="7" t="str">
        <x:v>report</x:v>
      </x:c>
      <x:c r="H201" s="7" t="str"/>
      <x:c r="I201" s="7" t="str">
        <x:v>https://researchonline.jcu.edu.au/65699/1/65699.pdf</x:v>
      </x:c>
      <x:c r="J201" s="7" t="str">
        <x:v>suspended sediment concentrations, contrasting the negative relationship observed for coral and CCA cover (Fabricius &amp; De’ath 2001b, 2004, Fabricius et al. 2005, Hutchings et al. 2005, Bessell-Browne et al. 2017b). Sediments and high turbidity alter reef structure, reproduction, larval success, recruitment, bioerosion and species interactions on inshore reefs (Babcock &amp; Davies 1991, Fabricius 2005, 2005, Hutchings et al. 2005), with extensive dredging activity posing considerable risk (Erftemeijer et al. 2012, Jones et al. 2016, Bessell-Browne et al. 2017a, Pineda et al. 2017b, Tebbett et al.</x:v>
      </x:c>
      <x:c r="K201" s="11" t="str">
        <x:v>YES</x:v>
      </x:c>
      <x:c r="L201" s="7" t="str">
        <x:v>PUBLIC_FULL_DOCUMENT_LOCATION</x:v>
      </x:c>
      <x:c r="M201" s="7" t="str">
        <x:v>https://researchonline.jcu.edu.au/65699/1/65699.pdf</x:v>
      </x:c>
      <x:c r="N201" s="7" t="str">
        <x:v>VERIFIED_DIRECT_DOCUMENT_URL</x:v>
      </x:c>
      <x:c r="O201" s="7" t="str">
        <x:v>B05_BROAD_SYNTHESIS_WITH_TARGET_EVIDENCE</x:v>
      </x:c>
      <x:c r="P201" s="11" t="str">
        <x:v>HIGH</x:v>
      </x:c>
      <x:c r="Q201" s="7" t="str">
        <x:v>Corals and crustose coralline algae (CCA) on inshore reefs, with explicit mention of coral and CCA cover, reproduction, larval success, recruitment, bioerosion, and species interactions.</x:v>
      </x:c>
      <x:c r="R201" s="7" t="str">
        <x:v>Suspended sediment concentrations, high turbidity, and extensive dredging activity; sediment-related pathways affecting reef organisms.</x:v>
      </x:c>
      <x:c r="S201" s="7" t="str">
        <x:v>Negative relationships between suspended sediments and coral/CCA cover; sediment effects on reef structure, reproduction, larval success, recruitment, bioerosion, and species interactions; risks from dredging.</x:v>
      </x:c>
      <x:c r="T201" s="7" t="str">
        <x:v>A substantive report/review (Oceanography and Marine Biology series) that synthesizes coral/CCA responses to sediment and turbidity, providing a broad assessment with target-specific evidence relevant to the review.</x:v>
      </x:c>
      <x:c r="U201" s="7" t="str">
        <x:v>The abstract clearly addresses tropical corals and CCA responding to suspended sediments, turbidity, and dredging, with impacts on cover, reproduction, recruitment, and species interactions. This is a broad synthesis, not a primary experimental test, so B05 is preferred over B04. It is not deep/cold (B01/B02) or a non-tropical mechanism (B03). The document is substantive despite the generic title, as the snippet indicates a scientific review chapter. Exclusions do not apply because coral/sponge evidence and sediment pathway are explicit. Confidence is high because the abstract alone provides sufficient target evidence.</x:v>
      </x:c>
      <x:c r="V201" s="7" t="str">
        <x:v>ALL_VERIFIED_NON_TROPICAL_TIER_B_INCLUSIONS</x:v>
      </x:c>
      <x:c r="W201" s="7" t="str">
        <x:v>TBV1-0671</x:v>
      </x:c>
    </x:row>
    <x:row r="202" ht="42" customHeight="1">
      <x:c r="A202" s="17" t="str">
        <x:v>B</x:v>
      </x:c>
      <x:c r="B202" s="7" t="str">
        <x:v>GLV4-7EFDB53A0304</x:v>
      </x:c>
      <x:c r="C202" s="7" t="str">
        <x:v>Onslow Marine Support Base Stage 2: Capital Dredging</x:v>
      </x:c>
      <x:c r="D202" s="7" t="str"/>
      <x:c r="E202" s="11" t="str"/>
      <x:c r="F202" s="7" t="str">
        <x:v>epa.wa.gov.au</x:v>
      </x:c>
      <x:c r="G202" s="7" t="str">
        <x:v>report</x:v>
      </x:c>
      <x:c r="H202" s="7" t="str"/>
      <x:c r="I202" s="7" t="str">
        <x:v>https://www.epa.wa.gov.au/sites/default/files/Request_for_info/OMSBStage2_EnvironmentalReviewDocument.pdf</x:v>
      </x:c>
      <x:c r="J202" s="7" t="str">
        <x:v>in the nearshore Proposal Area (O2 Marine 2017a). Separate zones of impact were created based on Suspended Sediment Concentrations (SSC) and sedimentation tolerance limits for coral and seagrass. The SSC dredge plume ZoHI represents the predicted area of irreversible loss and the ZoMI represents the predicted recoverable impacts of BCH. The impact zones for sedimentation are more localised and occur within the extent of area predicted in SSC dredge model outputs. The predicted environmental impacts of the proposed OMSB dredging project were further refined based on the review of recent literat</x:v>
      </x:c>
      <x:c r="K202" s="11" t="str">
        <x:v>YES</x:v>
      </x:c>
      <x:c r="L202" s="7" t="str">
        <x:v>PUBLIC_FULL_DOCUMENT_LOCATION</x:v>
      </x:c>
      <x:c r="M202" s="7" t="str">
        <x:v>https://www.epa.wa.gov.au/sites/default/files/Request_for_info/OMSBStage2_EnvironmentalReviewDocument.pdf</x:v>
      </x:c>
      <x:c r="N202" s="7" t="str">
        <x:v>VERIFIED_DIRECT_DOCUMENT_URL</x:v>
      </x:c>
      <x:c r="O202" s="7" t="str">
        <x:v>B05_BROAD_SYNTHESIS_WITH_TARGET_EVIDENCE</x:v>
      </x:c>
      <x:c r="P202" s="11" t="str">
        <x:v>HIGH</x:v>
      </x:c>
      <x:c r="Q202" s="7" t="str">
        <x:v>Coral (and seagrass) are explicitly mentioned as receiving organisms for which sedimentation tolerance limits are defined.</x:v>
      </x:c>
      <x:c r="R202" s="7" t="str">
        <x:v>Capital dredging creates suspended sediment concentrations (SSC) and sedimentation, with a dredge plume and impact zones predicted.</x:v>
      </x:c>
      <x:c r="S202" s="7" t="str">
        <x:v>Impact zones are based on predicted irreversible loss (ZoHI) and recoverable impacts (ZoMI) for corals and seagrass, informed by tolerance limits and literature review.</x:v>
      </x:c>
      <x:c r="T202" s="7" t="str">
        <x:v>This is a government environmental review document assessing sediment-related impacts from dredging on corals. It is a substantive assessment, not a discovery page, and separately reports coral-relevant evidence within a broader impact assessment that also covers seagrass.</x:v>
      </x:c>
      <x:c r="U202" s="7" t="str">
        <x:v>The record is an environmental review document from a government source (EPA WA) concerning capital dredging and its impacts via suspended sediment and sedimentation on corals and seagrass. It clearly defines impact zones based on SSC and sedimentation tolerance limits for coral, predicting irreversible and recoverable losses. This is a substantive assessment with direct sediment-impact focus on corals. The closest alternative is B04 (tropical physical sediment analogue), but this is not an experimental or direct measurement study; it is a review/assessment. B02 is for deep/cold systems, which is not the case here. B05 fits as a broader assessment that separately reports coral evidence. Therefore, TIER_B_INCLUDE under B05 is appropriate.</x:v>
      </x:c>
      <x:c r="V202" s="7" t="str">
        <x:v>ALL_VERIFIED_NON_TROPICAL_TIER_B_INCLUSIONS</x:v>
      </x:c>
      <x:c r="W202" s="7" t="str">
        <x:v>TBV1-0672</x:v>
      </x:c>
    </x:row>
    <x:row r="203" ht="42" customHeight="1">
      <x:c r="A203" s="17" t="str">
        <x:v>B</x:v>
      </x:c>
      <x:c r="B203" s="7" t="str">
        <x:v>CWC-69942A71FF7E</x:v>
      </x:c>
      <x:c r="C203" s="7" t="str">
        <x:v>Particle capture and transport in the demosponge Halichondria panicea :Speed talk and poster</x:v>
      </x:c>
      <x:c r="D203" s="7" t="str">
        <x:v>Rachael A. Kealy | Josephine Goldstein | Hans Ulrik Riisgård | Jonathan R. Brewer | Vita Solovyeva | Peter Funch</x:v>
      </x:c>
      <x:c r="E203" s="11" t="str">
        <x:v>2022</x:v>
      </x:c>
      <x:c r="F203" s="7" t="str"/>
      <x:c r="G203" s="7" t="str">
        <x:v>conference-paper</x:v>
      </x:c>
      <x:c r="H203" s="7" t="str"/>
      <x:c r="I203" s="7" t="str">
        <x:v>https://pure.au.dk/portal/en/publications/4578672a-740d-4bbc-9973-1174456bd9e0</x:v>
      </x:c>
      <x:c r="J203" s="7" t="str">
        <x:v>Sponges are efficient filter-feeders that encounter various food regimes with changing loads of inedible particles, such as suspended sediment, in their natural habitats. In some demosponges, peristaltic-like contractions of the aquiferous system facilitate removal of inedible material. Other studies have indicated selective feeding on certain types of food particles. However, the detailed mechanisms, cell types and aquiferous structures involved in capture, transport, and removal of different types of particles in sponges are not fully understood. Here we identify and characterize the sponge cell types and morphological structures involved in contractions, particle transport and water flow in the aquiferous system of the marine demosponge Halichondria panicea when exposed to different particle types and concentrations. We describe trigger level concentrations of edible and inedible particles of two distinct size groups (2 and 10 µm) which can reliably induce contractions in explants of H. panicea . We track the same particle types in the aquiferous system and mesohyl of sandwich cultures and cryofractured explants using live-cell imaging and SEM, respectively. Our study shows that edible 2 µm-particles which enter choanocyte chambers are captured and phagocytosed by choanocytes, while inedible particles are removed via apopyles with the water flow through excurrent canals. 10 µm-particles that cannot enter ostia or prosopyles are captured either on the sponge surface or in incurrent canals before they are phagocytosed by exo- or endopinacocytes, respectively. Afterwards they are transferred to amoeboid cells in the mesohyl which digest edible particle after disintegration into smaller fragments and remove inedible particles via exocytosis by endopinacocytes of the excurrent canals. Apart from feeding, possible functions of the observed capture, transport and removal mechanisms are cleaning of the aquiferous system and prevention of clogging of the sponge filter-pump.</x:v>
      </x:c>
      <x:c r="K203" s="11" t="str">
        <x:v>NO</x:v>
      </x:c>
      <x:c r="L203" s="7" t="str">
        <x:v>NOT_CONFIRMED</x:v>
      </x:c>
      <x:c r="M203" s="7" t="str"/>
      <x:c r="N203" s="7" t="str">
        <x:v>VERIFIED_BIBLIOGRAPHIC_DOCUMENT</x:v>
      </x:c>
      <x:c r="O203" s="7" t="str">
        <x:v>B03_NON_TROPICAL_DIRECT_MECHANISM</x:v>
      </x:c>
      <x:c r="P203" s="11" t="str">
        <x:v>HIGH</x:v>
      </x:c>
      <x:c r="Q203" s="7" t="str">
        <x:v>Marine demosponge Halichondria panicea</x:v>
      </x:c>
      <x:c r="R203" s="7" t="str">
        <x:v>Exposure to different particle types and concentrations, including suspended sediment and inedible particles (2 and 10 µm)</x:v>
      </x:c>
      <x:c r="S203" s="7" t="str">
        <x:v>Contractions of the aquiferous system, particle capture/transport/removal, cleaning mechanisms, and prevention of clogging; trigger level concentrations described</x:v>
      </x:c>
      <x:c r="T203" s="7" t="str">
        <x:v>Direct experimental study of a temperate sponge exposed to sediment-relevant particles, reporting physiological and cellular responses related to particle handling and clogging prevention.</x:v>
      </x:c>
      <x:c r="U203" s="7" t="str">
        <x:v>This conference paper experimentally tests a temperate sponge (Halichondria panicea) with suspended sediment-like inedible particles, documenting trigger concentrations for contractions and detailed mechanisms of particle capture, transport, and removal. This qualifies under B03 as a non-tropical direct mechanism study with a clear sediment-related exposure and relevant biological responses. It is not merely a mention of sediment; the entire study focuses on particle handling and clogging prevention. Therefore TIER_B_INCLUDE is preferred over CHAIN_ONLY or EXCLUDE.</x:v>
      </x:c>
      <x:c r="V203" s="7" t="str">
        <x:v>ALL_VERIFIED_NON_TROPICAL_TIER_B_INCLUSIONS</x:v>
      </x:c>
      <x:c r="W203" s="7" t="str">
        <x:v>TBV1-0212</x:v>
      </x:c>
    </x:row>
    <x:row r="204" ht="42" customHeight="1">
      <x:c r="A204" s="17" t="str">
        <x:v>B</x:v>
      </x:c>
      <x:c r="B204" s="7" t="str">
        <x:v>CWC-EA7596C0C122</x:v>
      </x:c>
      <x:c r="C204" s="7" t="str">
        <x:v>Particle loads, contractile responses and cleaning in the demosponge Halichondria panicea</x:v>
      </x:c>
      <x:c r="D204" s="7" t="str">
        <x:v>Josephine Goldstein | Hans Ulrik Riisgård | Rachael A. Kealy | Peter Funch</x:v>
      </x:c>
      <x:c r="E204" s="11" t="str">
        <x:v>2024</x:v>
      </x:c>
      <x:c r="F204" s="7" t="str">
        <x:v>Journal of Experimental Marine Biology and Ecology</x:v>
      </x:c>
      <x:c r="G204" s="7" t="str">
        <x:v>article</x:v>
      </x:c>
      <x:c r="H204" s="7" t="str">
        <x:v>10.1016/j.jembe.2024.152021</x:v>
      </x:c>
      <x:c r="I204" s="7" t="str">
        <x:v>https://doi.org/10.1016/j.jembe.2024.152021</x:v>
      </x:c>
      <x:c r="J204" s="7" t="str">
        <x:v>Sponges exposed to high concentrations of particles during filter-feeding may become overloaded, triggering closure of the osculum and contraction of the sponge, thus preventing too many particles from entering the aquiferous system. However, the minimum particle concentration of small versus larger particles that triggers contractions has not yet been described. Here, based on microscope-video recordings, we report our observations of explants of the demosponge Halichondria panicea . Explants contracted within m beads (1 x 10(7) particles mL(-1)), larger algal cells (Rhodomonas salina), and 10 mu m beads (1 x 10(5) mL(-1), respectively). No contractions occurred in sponge explants exposed to these particle types at concentrations &lt;0.5 x 10(4) mL(-1). Likewise, inorganic marl and ink particles induced osculum closure in sponge explants at concentrations ranging from 1 x 10(5) to 1 x 10(6) particles mL(-1). When the explants were subsequently transferred to clean water, they either expelled the ingested inorganic particles in mucus-entangled clumps with the exhalant jet, or translocated the particles to the sponge surface along with local peristaltic-like contractions. The trigger levels of inorganic particles were high compared to reported re-suspended sediment concentrations in the sea, and the observed contractile responses may thus primarily serve to protect sponges from clogging during extreme environmental events.</x:v>
      </x:c>
      <x:c r="K204" s="11" t="str">
        <x:v>NO</x:v>
      </x:c>
      <x:c r="L204" s="7" t="str">
        <x:v>NOT_CONFIRMED</x:v>
      </x:c>
      <x:c r="M204" s="7" t="str"/>
      <x:c r="N204" s="7" t="str">
        <x:v>VERIFIED_DOI_DOCUMENT</x:v>
      </x:c>
      <x:c r="O204" s="7" t="str">
        <x:v>B03_NON_TROPICAL_DIRECT_MECHANISM</x:v>
      </x:c>
      <x:c r="P204" s="11" t="str">
        <x:v>HIGH</x:v>
      </x:c>
      <x:c r="Q204" s="7" t="str">
        <x:v>Demosponge Halichondria panicea (temperate, non-tropical sponge)</x:v>
      </x:c>
      <x:c r="R204" s="7" t="str">
        <x:v>Suspended particles including inorganic marl and ink particles, as well as cyanobacteria, beads, and algal cells, at known concentrations</x:v>
      </x:c>
      <x:c r="S204" s="7" t="str">
        <x:v>Contractile responses, osculum closure, particle expulsion in mucus-entangled clumps, translocation to sponge surface, cleaning, and trigger concentration thresholds</x:v>
      </x:c>
      <x:c r="T204" s="7" t="str">
        <x:v>Direct experimental testing of particle exposure on a non-tropical sponge with clear biological responses relevant to sediment effects (clogging, cleaning, contraction).</x:v>
      </x:c>
      <x:c r="U204" s="7" t="str">
        <x:v>This study directly exposes the temperate sponge Halichondria panicea to defined particle loads, including inorganic marl and ink particles, and measures contractile responses, osculum closure, and cleaning mechanisms. This meets Tier B pathway B03 (non-tropical direct mechanism) because it is a non-tropical sponge study testing a sediment/particle exposure and reporting relevant biological responses. The stressor is clearly particle-related and the responses include behavioral and physiological indicators of clogging and clearance. No exclusion applies; the organism is in scope and the sediment pathway is explicit. The abstract provides sufficient detail, so confidence is high and full text is not required.</x:v>
      </x:c>
      <x:c r="V204" s="7" t="str">
        <x:v>ALL_VERIFIED_NON_TROPICAL_TIER_B_INCLUSIONS</x:v>
      </x:c>
      <x:c r="W204" s="7" t="str">
        <x:v>TBV1-0198</x:v>
      </x:c>
    </x:row>
    <x:row r="205" ht="42" customHeight="1">
      <x:c r="A205" s="17" t="str">
        <x:v>B</x:v>
      </x:c>
      <x:c r="B205" s="7" t="str">
        <x:v>CWC-D516BB706F18</x:v>
      </x:c>
      <x:c r="C205" s="7" t="str">
        <x:v>Particulate organic matter fluxes and carbon cycling at cold-water coral reefs A three years study at the Tisler Reef, Norway</x:v>
      </x:c>
      <x:c r="D205" s="7" t="str">
        <x:v>Hannes Wagner</x:v>
      </x:c>
      <x:c r="E205" s="11" t="str">
        <x:v>2012</x:v>
      </x:c>
      <x:c r="F205" s="7" t="str"/>
      <x:c r="G205" s="7" t="str">
        <x:v>article</x:v>
      </x:c>
      <x:c r="H205" s="7" t="str"/>
      <x:c r="I205" s="7" t="str">
        <x:v>http://www.jacobs-university.de/phd/files/phd20110831_wagner.pdf</x:v>
      </x:c>
      <x:c r="J205" s="7" t="str">
        <x:v>Cold-water corals (CWC) occur throughout the world’s oceans, with the reef building coral Lophelia pertusa forming giant reefs and mounds in the Northeast Atlantic. Several important issues regarding CWC reefs remain not well understood. These include the relative contribution of different food sources to CWC ecosystem nutrition, the influence of hydrodynamic processes on reef nutrition, as well as the contribution of CWC ecosystems to benthic carbon turnover along continental margins. Within this PhD project, these issues were addressed at the Tisler cold-water coral reef (Norway) in a succession of field campaigns between 2007 and 2009, using a variety of methodological approaches. These consisted, amongst others, of the collection of CTD and chlorophyll profiles, the sampling and analyses of particulate organic matter (POM), the deployment of sediment traps, as well as the deployment of current meters, temperature sensors and oxygen sensors for time-series measurements. The environmental conditions at the Tisler Reef were found to be highly dynamic in terms of temperature and flow. Downwelling periodically delivered warmer, fresher and chlorophyll richer water masses down to the benthic boundary layer (BBL) of the downstream reef side. Particulate organic carbon (POC) content in the BBL was significantly depleted across the reef. Biodeposition was calculated to be 459 mg POC m-2 d-1 on average. Dissolved oxygen concentration within the reef structure decreased rapidly during short phases of stagnant or near stagnant flow. A community respiration rate of 981 mg C m-2 d-1 was estimated. Vertical POC fluxes measured with sediment traps supplied only ~25% of the estimated community respiration, indicating the presence of other carbon supplying mechanisms to the coral community such as biodeposition and feeding on zooplankton. These data on biodeposition, vertical carbon fluxes and respiration suggest that CWC reefs could play an important role in carbon cycling along continental margins.</x:v>
      </x:c>
      <x:c r="K205" s="11" t="str">
        <x:v>NO</x:v>
      </x:c>
      <x:c r="L205" s="7" t="str">
        <x:v>NOT_CONFIRMED</x:v>
      </x:c>
      <x:c r="M205" s="7" t="str"/>
      <x:c r="N205" s="7" t="str">
        <x:v>VERIFIED_DIRECT_DOCUMENT_URL</x:v>
      </x:c>
      <x:c r="O205" s="7" t="str">
        <x:v>B01_DEEP_COLD_SEDIMENT_EVIDENCE</x:v>
      </x:c>
      <x:c r="P205" s="11" t="str">
        <x:v>MEDIUM</x:v>
      </x:c>
      <x:c r="Q205" s="7" t="str">
        <x:v>Cold-water coral Lophelia pertusa at Tisler Reef, Norway, with ecosystem-level measurements.</x:v>
      </x:c>
      <x:c r="R205" s="7" t="str">
        <x:v>Suspended particulate matter (POM/POC) fluxes measured with sediment traps, and biodeposition of particulate carbon.</x:v>
      </x:c>
      <x:c r="S205" s="7" t="str">
        <x:v>Community respiration rate, biodeposition rate, and vertical POC flux estimates; ecological carbon cycling and reef condition.</x:v>
      </x:c>
      <x:c r="T205" s="7" t="str">
        <x:v>Deep/cold-water coral source with explicit suspended-particle/sediment-trapping pathway and biological/ecological evidence (respiration, biodeposition, carbon turnover), matching B01.</x:v>
      </x:c>
      <x:c r="U205" s="7" t="str">
        <x:v>This PhD thesis focuses on cold-water coral (Lophelia pertusa) at Tisler Reef and directly quantifies particulate organic matter fluxes using sediment traps, biodeposition, and community respiration. It provides ecological evidence linking suspended-particle supply to coral reef carbon cycling and benthic metabolism. Although the emphasis is on food supply rather than sediment stress, the explicit suspended-particle pathway and measured biological/ecological responses meet the wider Tier B inclusion criteria (B01). The abstract does not detail a stressor response, but the data on respiration and biodeposition are relevant to understanding exposure and sensitivity to sediment-related processes. Excluded from CHAIN_ONLY because the document contains direct quantitative evidence, not merely references.</x:v>
      </x:c>
      <x:c r="V205" s="7" t="str">
        <x:v>ALL_VERIFIED_CENTRAL_PEER_REVIEWED</x:v>
      </x:c>
      <x:c r="W205" s="7" t="str">
        <x:v>TBV1-0021</x:v>
      </x:c>
    </x:row>
    <x:row r="206" ht="42" customHeight="1">
      <x:c r="A206" s="17" t="str">
        <x:v>B</x:v>
      </x:c>
      <x:c r="B206" s="7" t="str">
        <x:v>CWC-6A794C242F17</x:v>
      </x:c>
      <x:c r="C206" s="7" t="str">
        <x:v>Patterns of glass sponge (Porifera, Hexactinellida) distribution in coastal waters of British Columbia, Canada</x:v>
      </x:c>
      <x:c r="D206" s="7" t="str">
        <x:v>Sally P. Leys | K. W. Wilson | Claire Holeton | HM Reiswig | W. Chandler Roberts Austin | Verena Tunnicliffe</x:v>
      </x:c>
      <x:c r="E206" s="11" t="str">
        <x:v>2004</x:v>
      </x:c>
      <x:c r="F206" s="7" t="str">
        <x:v>Marine Ecology Progress Series</x:v>
      </x:c>
      <x:c r="G206" s="7" t="str">
        <x:v>article</x:v>
      </x:c>
      <x:c r="H206" s="7" t="str">
        <x:v>10.3354/meps283133</x:v>
      </x:c>
      <x:c r="I206" s="7" t="str">
        <x:v>https://doi.org/10.3354/meps283133</x:v>
      </x:c>
      <x:c r="J206" s="7" t="str">
        <x:v>Glass sponges are enigmatic members of the deep-sea fauna that inhabit shallow waters in only a few locations world-wide. In order to understand what factors influence the distribution of glass sponges, patterns of distribution and abundance of reef and non-reef forming hexactinellids in fjords of British Columbia, Canada, were analyzed from photographs and transcripts recorded on dives undertaken by the 'Pisces IV' manned submersible during the 1980s. Hexactinellids are widely distributed throughout all fjords from 16 to 650 m depths, and in some fjords abundances reach 240 individuals in 10 m(2). In all fjords hexactinellids were most abundant at depths of 20 to 260 m, even where water depths exceeded 500 m. Glass sponges were rare in regions of inlets where oxygen levels fall below 2 ml l(-1), or in areas of high sediment deposition. Highest abundances coincided with water conditions of high dissolved silicate, low light, temperatures between 9 and 10degreesC and low suspended sediments. Extensive glass sponge skeletons in the inner basin of Howe Sound reflect past stress in this fjord that may include oxygen deficit, sediment loading from a mine and contamination from industrial sites. The observations from 'Pisces IV' suggest that glass sponges may be sentinel species for current and past seawater conditions in coastal British Columbia.</x:v>
      </x:c>
      <x:c r="K206" s="11" t="str">
        <x:v>YES</x:v>
      </x:c>
      <x:c r="L206" s="7" t="str">
        <x:v>FROZEN_PUBLIC_FULL_TEXT_LOCATION</x:v>
      </x:c>
      <x:c r="M206" s="7" t="str">
        <x:v>https://www.int-res.com/articles/meps2004/283/m283p133.pdf</x:v>
      </x:c>
      <x:c r="N206" s="7" t="str">
        <x:v>VERIFIED_DOI_DOCUMENT</x:v>
      </x:c>
      <x:c r="O206" s="7" t="str">
        <x:v>B01_DEEP_COLD_SEDIMENT_EVIDENCE</x:v>
      </x:c>
      <x:c r="P206" s="11" t="str">
        <x:v>HIGH</x:v>
      </x:c>
      <x:c r="Q206" s="7" t="str">
        <x:v>Glass sponges (Porifera, Hexactinellida), including reef- and non-reef-forming species, studied in fjords of British Columbia, Canada.</x:v>
      </x:c>
      <x:c r="R206" s="7" t="str">
        <x:v>Sediment pathway explicit in the abstract: high sediment deposition, low suspended sediments, and historical sediment loading from a mine; distribution correlates with these sediment-related factors.</x:v>
      </x:c>
      <x:c r="S206" s="7" t="str">
        <x:v>Ecological distribution and abundance patterns: sponges rare in areas of high sediment deposition; highest abundances in low-suspended-sediment conditions; extensive skeletons interpreted as evidence of past stress from sediment loading; proposed as sentinel species for seawater conditions.</x:v>
      </x:c>
      <x:c r="T206" s="7" t="str">
        <x:v>This is a cold-water sponge study directly linking sediment-related environmental factors (deposition, suspended sediment, mine-derived sediment loading) to sponge distribution, abundance, and past ecological stress. It provides indirect but explicit biological/ecological evidence suitable for Tier B, meeting B01.</x:v>
      </x:c>
      <x:c r="U206" s="7" t="str">
        <x:v>The study focuses on glass sponges in cold-water fjords and explicitly identifies sediment deposition and suspended sediments as factors influencing their distribution and abundance. It reports ecological evidence (rarity in high-deposition areas, abundance in low-sediment conditions, historical sediment stress) rather than being a purely geological or transport analysis. This fits B01_DEEP_COLD_SEDIMENT_EVIDENCE. It is preferable to CHAIN_ONLY because the record itself supplies direct sediment-sponge response evidence. It is not EXCLUDE because the sediment pathway and biological response are both present. No competing stressors override the sediment link; although oxygen and contamination are mentioned, the sediment pathway is clearly evaluated in relation to sponge ecology.</x:v>
      </x:c>
      <x:c r="V206" s="7" t="str">
        <x:v>ALL_VERIFIED_CENTRAL_PEER_REVIEWED</x:v>
      </x:c>
      <x:c r="W206" s="7" t="str">
        <x:v>TBV1-0085</x:v>
      </x:c>
    </x:row>
    <x:row r="207" ht="42" customHeight="1">
      <x:c r="A207" s="17" t="str">
        <x:v>B</x:v>
      </x:c>
      <x:c r="B207" s="7" t="str">
        <x:v>CWC-6D7646A83C58</x:v>
      </x:c>
      <x:c r="C207" s="7" t="str">
        <x:v>Patterns of oil-sediment rejection in corals</x:v>
      </x:c>
      <x:c r="D207" s="7" t="str"/>
      <x:c r="E207" s="11" t="str">
        <x:v>1977</x:v>
      </x:c>
      <x:c r="F207" s="7" t="str">
        <x:v>Deep Sea Research</x:v>
      </x:c>
      <x:c r="G207" s="7" t="str">
        <x:v>article</x:v>
      </x:c>
      <x:c r="H207" s="7" t="str">
        <x:v>10.1016/0146-6291(77)90012-1</x:v>
      </x:c>
      <x:c r="I207" s="7" t="str">
        <x:v>https://doi.org/10.1016/0146-6291(77)90012-1</x:v>
      </x:c>
      <x:c r="J207" s="7" t="str"/>
      <x:c r="K207" s="11" t="str">
        <x:v>NO</x:v>
      </x:c>
      <x:c r="L207" s="7" t="str">
        <x:v>NOT_CONFIRMED</x:v>
      </x:c>
      <x:c r="M207" s="7" t="str"/>
      <x:c r="N207" s="7" t="str">
        <x:v>VERIFIED_DOI_DOCUMENT</x:v>
      </x:c>
      <x:c r="O207" s="7" t="str">
        <x:v>B01_DEEP_COLD_SEDIMENT_EVIDENCE</x:v>
      </x:c>
      <x:c r="P207" s="11" t="str">
        <x:v>MEDIUM</x:v>
      </x:c>
      <x:c r="Q207" s="7" t="str">
        <x:v>Corals (title: 'in corals')</x:v>
      </x:c>
      <x:c r="R207" s="7" t="str">
        <x:v>Oil-sediment (explicit sediment component in exposure)</x:v>
      </x:c>
      <x:c r="S207" s="7" t="str">
        <x:v>Rejection behavior (patterns of rejection)</x:v>
      </x:c>
      <x:c r="T207" s="7" t="str">
        <x:v>Title directly indicates a study on coral responses to oil-sediment exposure, including rejection behavior, which is a relevant biological response to a sediment-related pathway. The journal 'Deep Sea Research' suggests a deep-sea context, fitting B01.</x:v>
      </x:c>
      <x:c r="U207" s="7" t="str">
        <x:v>The title unambiguously names corals and oil-sediment rejection, providing explicit evidence of a sediment-related exposure (oil-sediment) and a biological response (rejection). The journal 'Deep Sea Research' strongly implies a deep-sea or cold-water setting, aligning with B01. Although the abstract is missing, the title alone is sufficient to identify a substantive article with direct coral and sediment relevance. I selected TIER_B_INCLUDE over CHAIN_ONLY because the document itself appears to present coral-specific sediment evidence, not just a reference source. The closest alternative would be EXCLUDE if the study focused solely on oil toxicity without a sediment pathway, but the title explicitly includes sediment, making inclusion appropriate. Confidence is medium due to lack of abstract and potential ambiguity about the exact coral habitat.</x:v>
      </x:c>
      <x:c r="V207" s="7" t="str">
        <x:v>ALL_VERIFIED_CENTRAL_PEER_REVIEWED</x:v>
      </x:c>
      <x:c r="W207" s="7" t="str">
        <x:v>TBV1-0213</x:v>
      </x:c>
    </x:row>
    <x:row r="208" ht="42" customHeight="1">
      <x:c r="A208" s="17" t="str">
        <x:v>B</x:v>
      </x:c>
      <x:c r="B208" s="7" t="str">
        <x:v>CWC-CBADD92BEB3D</x:v>
      </x:c>
      <x:c r="C208" s="7" t="str">
        <x:v>Cold-water coral reefs (UK BAP Priority Habitat description)</x:v>
      </x:c>
      <x:c r="D208" s="7" t="str"/>
      <x:c r="E208" s="11" t="str"/>
      <x:c r="F208" s="7" t="str">
        <x:v>JNCC</x:v>
      </x:c>
      <x:c r="G208" s="7" t="str">
        <x:v>government_report</x:v>
      </x:c>
      <x:c r="H208" s="7" t="str"/>
      <x:c r="I208" s="7" t="str">
        <x:v>https://data.jncc.gov.uk/data/0a9b6b43-4827-44a4-ab06-0f94d5ad6b93/UKBAP-BAPHabitats-11-ColdCoralReefs.pdf</x:v>
      </x:c>
      <x:c r="J208" s="7" t="str">
        <x:v>2005; Dodds et al, 2007; Davies et al, 2008). Relevant biotopes SS.SBR.Crl.Lop – Coral reefs SS.SBR.Crl.Lop – Lophelia reefs Current and potential threats  Fisheries: Trawling  Offshore Industry: Physical damage from construction and smothering resulting from the associated discharges of drilling mud and drill cuttings.  Eutrophication: Resulting from discharges of land-based activities (Hall-Spencer, University of Plymouth, pers. comm., 2008)  Scientific sampling: Given the slow growth [...] Lophelia pertusa, a cold-water, reef-forming coral, has a wide geographic distribution ranging fro</x:v>
      </x:c>
      <x:c r="K208" s="11" t="str">
        <x:v>YES</x:v>
      </x:c>
      <x:c r="L208" s="7" t="str">
        <x:v>FROZEN_PUBLIC_FULL_TEXT_LOCATION</x:v>
      </x:c>
      <x:c r="M208" s="7" t="str">
        <x:v>https://data.jncc.gov.uk/data/0a9b6b43-4827-44a4-ab06-0f94d5ad6b93/UKBAP-BAPHabitats-11-ColdCoralReefs.pdf</x:v>
      </x:c>
      <x:c r="N208" s="7" t="str">
        <x:v>VERIFIED_DIRECT_DOCUMENT_URL</x:v>
      </x:c>
      <x:c r="O208" s="7" t="str">
        <x:v>B02_DEEP_COLD_REVIEW_ASSESSMENT</x:v>
      </x:c>
      <x:c r="P208" s="11" t="str">
        <x:v>HIGH</x:v>
      </x:c>
      <x:c r="Q208" s="7" t="str">
        <x:v>Cold-water reef-forming coral Lophelia pertusa; associated cold-water coral reef habitats.</x:v>
      </x:c>
      <x:c r="R208" s="7" t="str">
        <x:v>Smothering from discharges of drilling mud and drill cuttings associated with offshore industry construction activities.</x:v>
      </x:c>
      <x:c r="S208" s="7" t="str">
        <x:v>Habitat description and threat assessment identifying smothering by drilling discharges as a current threat to cold-water coral reefs; the document supports understanding vulnerability and potential impacts.</x:v>
      </x:c>
      <x:c r="T208" s="7" t="str">
        <x:v>Substantive UK government habitat description/assessment for cold-water coral reefs with a direct sediment-related impact pathway (drilling mud/cuttings smothering) and management/conservation relevance.</x:v>
      </x:c>
      <x:c r="U208" s="7" t="str">
        <x:v>This record is a JNCC UK BAP Priority Habitat description for cold-water coral reefs. The snippet explicitly identifies smothering from drilling mud and drill cuttings as a threat to Lophelia pertusa reefs. This constitutes a substantive government assessment document with a direct sediment-impact focus, meeting Tier B category B02. The organism is unequivocally a cold-water coral, the pathway is sediment/drill cuttings deposition, and the document has clear conservation and impact-assessment value. The decision is TIER_B_INCLUDE over EXCLUDE because the sediment pathway is explicit and not merely a habitat description; over CHAIN_ONLY because it has substantive sediment-threat evidence.</x:v>
      </x:c>
      <x:c r="V208" s="7" t="str">
        <x:v>ALL_VERIFIED_NON_TROPICAL_TIER_B_INCLUSIONS</x:v>
      </x:c>
      <x:c r="W208" s="7" t="str">
        <x:v>TBV1-0029</x:v>
      </x:c>
    </x:row>
    <x:row r="209" ht="42" customHeight="1">
      <x:c r="A209" s="17" t="str">
        <x:v>B</x:v>
      </x:c>
      <x:c r="B209" s="7" t="str">
        <x:v>CWC-381499072777</x:v>
      </x:c>
      <x:c r="C209" s="7" t="str">
        <x:v>Corals and Sponges</x:v>
      </x:c>
      <x:c r="D209" s="7" t="str"/>
      <x:c r="E209" s="11" t="str"/>
      <x:c r="F209" s="7" t="str">
        <x:v>Fisheries and Oceans Canada</x:v>
      </x:c>
      <x:c r="G209" s="7" t="str">
        <x:v>government_report</x:v>
      </x:c>
      <x:c r="H209" s="7" t="str"/>
      <x:c r="I209" s="7" t="str">
        <x:v>https://www.dfo-mpo.gc.ca/pnw-ppe/ffhpp-ppph/doc/nfl-coral-sponge-guidance-directives-coraux-eponges/NL-coral-sponge-guidance-summary-eng.pdf</x:v>
      </x:c>
      <x:c r="J209" s="7" t="str">
        <x:v>decision by a proponent, with supporting rationale provided to the C-NLOPB and DFO. Both options will consider: • abundance and spatial distribution of the five functional groups: sea pens, small gorgonians, large gorgonians, black corals, and sponges (see Annex A, Technical document); • vulnerability of functional groups (e.g black corals are rare on continental shelf with a longer life span and rigid fragile skeleton); • overlapping functional groups; and • the footprint of the well and [...] PHASE 2: DURING DRILLING Management of drill cuttings and muds In areas with aggregations of habitat</x:v>
      </x:c>
      <x:c r="K209" s="11" t="str">
        <x:v>YES</x:v>
      </x:c>
      <x:c r="L209" s="7" t="str">
        <x:v>FROZEN_PUBLIC_FULL_TEXT_LOCATION</x:v>
      </x:c>
      <x:c r="M209" s="7" t="str">
        <x:v>https://www.dfo-mpo.gc.ca/pnw-ppe/ffhpp-ppph/doc/nfl-coral-sponge-guidance-directives-coraux-eponges/NL-coral-sponge-guidance-summary-eng.pdf</x:v>
      </x:c>
      <x:c r="N209" s="7" t="str">
        <x:v>VERIFIED_DIRECT_DOCUMENT_URL</x:v>
      </x:c>
      <x:c r="O209" s="7" t="str">
        <x:v>B02_DEEP_COLD_REVIEW_ASSESSMENT</x:v>
      </x:c>
      <x:c r="P209" s="11" t="str">
        <x:v>HIGH</x:v>
      </x:c>
      <x:c r="Q209" s="7" t="str">
        <x:v>Corals and sponges, including five functional groups: sea pens, small gorgonians, large gorgonians, black corals, and sponges.</x:v>
      </x:c>
      <x:c r="R209" s="7" t="str">
        <x:v>Management of drill cuttings and muds during drilling, representing sediment-related depositional pathways.</x:v>
      </x:c>
      <x:c r="S209" s="7" t="str">
        <x:v>Vulnerability assessment of functional groups and decision framework for drilling activities, addressing potential impacts on coral and sponge habitat.</x:v>
      </x:c>
      <x:c r="T209" s="7" t="str">
        <x:v>A substantive government regulatory guidance document focused on sediment impacts (drill cuttings/muds) on cold-water corals and sponges, providing assessment criteria for mitigation.</x:v>
      </x:c>
      <x:c r="U209" s="7" t="str">
        <x:v>This is a Fisheries and Oceans Canada guidance document specifically about corals and sponges, with direct focus on managing drill cuttings and muds in areas with coral/sponge aggregations. It includes vulnerability considerations for functional groups, fulfilling the B02 pathway for a regulatory assessment with direct sediment-impact relevance. The closest alternative would be exclusion for lack of primary data, but as a government report it is explicitly eligible. Thus TIER_B_INCLUDE is appropriate.</x:v>
      </x:c>
      <x:c r="V209" s="7" t="str">
        <x:v>ALL_VERIFIED_CSAS</x:v>
      </x:c>
      <x:c r="W209" s="7" t="str">
        <x:v>TBV1-0130</x:v>
      </x:c>
    </x:row>
    <x:row r="210" ht="42" customHeight="1">
      <x:c r="A210" s="17" t="str">
        <x:v>B</x:v>
      </x:c>
      <x:c r="B210" s="7" t="str">
        <x:v>CWC-2CA6983F9BE0</x:v>
      </x:c>
      <x:c r="C210" s="7" t="str">
        <x:v>EL1165B Drill Cuttings Monitoring Report</x:v>
      </x:c>
      <x:c r="D210" s="7" t="str"/>
      <x:c r="E210" s="11" t="str"/>
      <x:c r="F210" s="7" t="str">
        <x:v>ExxonMobil Canada Ltd.</x:v>
      </x:c>
      <x:c r="G210" s="7" t="str">
        <x:v>monitoring_report</x:v>
      </x:c>
      <x:c r="H210" s="7" t="str"/>
      <x:c r="I210" s="7" t="str">
        <x:v>https://exploration.exxonmobilcanada.ca/s/EL1165B-Drill-Cuttings-Monitoring-Report-final.pdf</x:v>
      </x:c>
      <x:c r="J210" s="7" t="str">
        <x:v>of the follow-up monitoring program as set out in the Eastern Newfoundland Offshore Exploration Drilling Project Environment Impact Statement (EIS) (EMCL 2017) as well as requirements set out in the Canadian Environmental Assessment Act (2012) Decision Statement (CEA Agency 2019). The follow-up program is based upon a regulatory agency approved monitoring plan (EMCL 2020) that was submitted in March 2020. The follow-up monitoring results are reported as part of a series of reports. The Drill [...] and Monitoring 2020 Report (Final) Wood Project #: TA1913215 23 February 2021 Environment &amp; Infra</x:v>
      </x:c>
      <x:c r="K210" s="11" t="str">
        <x:v>YES</x:v>
      </x:c>
      <x:c r="L210" s="7" t="str">
        <x:v>FROZEN_PUBLIC_FULL_TEXT_LOCATION</x:v>
      </x:c>
      <x:c r="M210" s="7" t="str">
        <x:v>https://exploration.exxonmobilcanada.ca/s/EL1165B-Drill-Cuttings-Monitoring-Report-final.pdf</x:v>
      </x:c>
      <x:c r="N210" s="7" t="str">
        <x:v>VERIFIED_DIRECT_DOCUMENT_URL</x:v>
      </x:c>
      <x:c r="O210" s="7" t="str">
        <x:v>B02_DEEP_COLD_REVIEW_ASSESSMENT</x:v>
      </x:c>
      <x:c r="P210" s="11" t="str">
        <x:v>MEDIUM</x:v>
      </x:c>
      <x:c r="Q210" s="7" t="str">
        <x:v>Likely cold-water corals and sponges in the Newfoundland offshore area, as the report is a follow-up monitoring program for an offshore exploration drilling project.</x:v>
      </x:c>
      <x:c r="R210" s="7" t="str">
        <x:v>Drill cuttings and associated drilling discharges are the explicit sediment pathway evaluated.</x:v>
      </x:c>
      <x:c r="S210" s="7" t="str">
        <x:v>The report provides monitoring results and assessment of environmental effects as required by the Canadian Environmental Assessment Act and an approved monitoring plan.</x:v>
      </x:c>
      <x:c r="T210" s="7" t="str">
        <x:v>Substantive monitoring report with a direct sediment-impact focus (drill cuttings) in a deep-cold offshore region, capable of informing effects, exposure, thresholds, or recovery for corals and sponges.</x:v>
      </x:c>
      <x:c r="U210" s="7" t="str">
        <x:v>This document is a formal drill cuttings monitoring report prepared for a regulatory follow-up program in the Eastern Newfoundland offshore area. The title and abstract establish it as a substantive monitoring/assessment document with a clear sediment pathway (drill cuttings) and environmental effects monitoring context. Given the region, cold-water corals and sponges are plausible receptors, and the report likely contains relevant biological or ecological evidence. Although the snippet does not explicitly name corals or sponges, the document type and regulatory context justify inclusion under B02 as a deep/cold review/assessment with direct sediment-impact focus. It is preferable to CHAIN_ONLY because the report itself is effect-monitoring rather than merely a source of references. Full-text review is needed to confirm the extent of coral/sponge content.</x:v>
      </x:c>
      <x:c r="V210" s="7" t="str">
        <x:v>ALL_VERIFIED_NON_TROPICAL_TIER_B_INCLUSIONS</x:v>
      </x:c>
      <x:c r="W210" s="7" t="str">
        <x:v>TBV1-0200</x:v>
      </x:c>
    </x:row>
    <x:row r="211" ht="42" customHeight="1">
      <x:c r="A211" s="17" t="str">
        <x:v>B</x:v>
      </x:c>
      <x:c r="B211" s="7" t="str">
        <x:v>GLV4-605BA7F679D4</x:v>
      </x:c>
      <x:c r="C211" s="7" t="str">
        <x:v>THE EFFECTS OF SEDIMENTATION IN THE DEEP SEA - NIWA</x:v>
      </x:c>
      <x:c r="D211" s="7" t="str"/>
      <x:c r="E211" s="11" t="str"/>
      <x:c r="F211" s="7" t="str">
        <x:v>niwa.co.nz</x:v>
      </x:c>
      <x:c r="G211" s="7" t="str">
        <x:v>report</x:v>
      </x:c>
      <x:c r="H211" s="7" t="str"/>
      <x:c r="I211" s="7" t="str">
        <x:v>https://niwa.co.nz/sites/default/files/Clark_etal_2021NZMSSpresentation-program_ROBES-NIWA.pdf</x:v>
      </x:c>
      <x:c r="J211" s="7" t="str">
        <x:v>• Sediment experiments - effects of capping with fine sediment • Infauna responses to disturbance of infauna-do they recover? • Experimental exposure of corals-is there a threshold of suspended sediment when impact is serious? [...] • 5mm, marked reduction in DO penetration • Development of anoxic sediments Benthic Infauna • Multicore samples Before (Pre-), after (1 week Post), and After (1 year Post) • Meio- and macro-fauna results • Meio: segregation of 0-1 cm and 1-5 cm communities, return to pre-disturbance 1 year after more in 0-1 cm than 1-5 cm (depth effect) • Macro: illustration of dec</x:v>
      </x:c>
      <x:c r="K211" s="11" t="str">
        <x:v>YES</x:v>
      </x:c>
      <x:c r="L211" s="7" t="str">
        <x:v>PUBLIC_FULL_DOCUMENT_LOCATION</x:v>
      </x:c>
      <x:c r="M211" s="7" t="str">
        <x:v>https://niwa.co.nz/sites/default/files/Clark_etal_2021NZMSSpresentation-program_ROBES-NIWA.pdf</x:v>
      </x:c>
      <x:c r="N211" s="7" t="str">
        <x:v>VERIFIED_DIRECT_DOCUMENT_URL</x:v>
      </x:c>
      <x:c r="O211" s="7" t="str">
        <x:v>B01_DEEP_COLD_SEDIMENT_EVIDENCE</x:v>
      </x:c>
      <x:c r="P211" s="11" t="str">
        <x:v>HIGH</x:v>
      </x:c>
      <x:c r="Q211" s="7" t="str">
        <x:v>Deep-sea corals (and infauna) – experimental exposure to suspended sediment.</x:v>
      </x:c>
      <x:c r="R211" s="7" t="str">
        <x:v>Suspended sediment, fine sediment capping, and sedimentation in the deep sea.</x:v>
      </x:c>
      <x:c r="S211" s="7" t="str">
        <x:v>Threshold of suspended sediment for serious impact on corals; infauna recovery and anoxic sediment development.</x:v>
      </x:c>
      <x:c r="T211" s="7" t="str">
        <x:v>B01_DEEP_COLD_SEDIMENT_EVIDENCE: direct deep-sea coral sediment exposure experiments with threshold assessment.</x:v>
      </x:c>
      <x:c r="U211" s="7" t="str">
        <x:v>The NIWA presentation directly addresses deep-sea sedimentation effects, explicitly including experimental exposure of corals to suspended sediment and asking about impact thresholds. This provides direct biological evidence for sediment impacts on deep-sea corals, meeting B01. The snippet also covers infauna recovery, but coral evidence is separate. It is a substantive presentation, not a mere landing page. The reason code B01 is preferred over B03 because the focus is deep-sea (cold-water) corals, and over B02 as it is primary experimental evidence rather than a review. Excluded alternatives are not applicable.</x:v>
      </x:c>
      <x:c r="V211" s="7" t="str">
        <x:v>ALL_VERIFIED_NON_TROPICAL_TIER_B_INCLUSIONS</x:v>
      </x:c>
      <x:c r="W211" s="7" t="str">
        <x:v>TBV1-0412</x:v>
      </x:c>
    </x:row>
    <x:row r="212" ht="42" customHeight="1">
      <x:c r="A212" s="17" t="str">
        <x:v>B</x:v>
      </x:c>
      <x:c r="B212" s="7" t="str">
        <x:v>CWC-775336C20A96</x:v>
      </x:c>
      <x:c r="C212" s="7" t="str">
        <x:v>Photo-physiological costs associated with acute sediment stress events in three near-shore turbid water corals</x:v>
      </x:c>
      <x:c r="D212" s="7" t="str">
        <x:v>Nicola K. Browne | Elimar Precht | KS Last | PA Todd</x:v>
      </x:c>
      <x:c r="E212" s="11" t="str">
        <x:v>2014</x:v>
      </x:c>
      <x:c r="F212" s="7" t="str">
        <x:v>Marine Ecology Progress Series</x:v>
      </x:c>
      <x:c r="G212" s="7" t="str">
        <x:v>article</x:v>
      </x:c>
      <x:c r="H212" s="7" t="str">
        <x:v>10.3354/meps10714</x:v>
      </x:c>
      <x:c r="I212" s="7" t="str">
        <x:v>https://doi.org/10.3354/meps10714</x:v>
      </x:c>
      <x:c r="J212" s="7" t="str">
        <x:v>Many coral reef communities thriving in inshore coastal waters characterised by chronically high natural turbidity (&gt; 5 mg l(-1)) have adapted to low light ( 170 mg l(-1), while Platygyra was most tolerant (P/R &gt; 1.0). Fluorescence yield data suggest that the rapid photo-acclimation ability of Platygyra enabled it to maintain a positive carbon budget during the experiments, illustrating species-specific responses to acute sediment stress events.</x:v>
      </x:c>
      <x:c r="K212" s="11" t="str">
        <x:v>YES</x:v>
      </x:c>
      <x:c r="L212" s="7" t="str">
        <x:v>FROZEN_PUBLIC_FULL_TEXT_LOCATION</x:v>
      </x:c>
      <x:c r="M212" s="7" t="str">
        <x:v>https://www.int-res.com/articles/meps2014/502/m502p129.pdf</x:v>
      </x:c>
      <x:c r="N212" s="7" t="str">
        <x:v>VERIFIED_DOI_DOCUMENT</x:v>
      </x:c>
      <x:c r="O212" s="7" t="str">
        <x:v>B04_TROPICAL_PHYSICAL_SEDIMENT_ANALOGUE</x:v>
      </x:c>
      <x:c r="P212" s="11" t="str">
        <x:v>HIGH</x:v>
      </x:c>
      <x:c r="Q212" s="7" t="str">
        <x:v>Three Indo-Pacific inshore turbid-water corals: Merulina ampliata, Pachyseris speciosa, and Platygyra sinensis.</x:v>
      </x:c>
      <x:c r="R212" s="7" t="str">
        <x:v>Acute sediment resuspension events: turbidity 100, 170, 240 mg/L and sedimentation rates 4, 9, 13 mg/cm2/h; experimentally delivered via a sediment delivery system.</x:v>
      </x:c>
      <x:c r="S212" s="7" t="str">
        <x:v>Measured respiration, net photosynthesis, maximum quantum yield, and photosynthesis-to-respiration ratios; showed species-specific metabolic responses and carbon budget impacts.</x:v>
      </x:c>
      <x:c r="T212" s="7" t="str">
        <x:v>Direct experimental test of physical sediment exposure on tropical corals reporting relevant physiological responses, qualifying under B04.</x:v>
      </x:c>
      <x:c r="U212" s="7" t="str">
        <x:v>This study directly exposes tropical corals to acute sediment resuspension and quantifies physiological responses (respiration, photosynthesis, P/R ratio, fluorescence). The sediment pathway is explicit and experimentally controlled, and the response metrics are clearly relevant to turbidity and deposition impacts. Thus it meets B04_TROPICAL_PHYSICAL_SEDIMENT_ANALOGUE. The closest alternative, B03, is less appropriate because the corals are tropical, not temperate/polar/mesophotic. The experimental design and abstract-level results provide sufficient evidence, so confidence is HIGH.</x:v>
      </x:c>
      <x:c r="V212" s="7" t="str">
        <x:v>SPARING_TOP_25_TROPICAL_DIRECT_PHYSICAL_ANALOGUES</x:v>
      </x:c>
      <x:c r="W212" s="7" t="str">
        <x:v>TBV1-1189</x:v>
      </x:c>
    </x:row>
    <x:row r="213" ht="42" customHeight="1">
      <x:c r="A213" s="17" t="str">
        <x:v>B</x:v>
      </x:c>
      <x:c r="B213" s="7" t="str">
        <x:v>CWC-900375A4F185</x:v>
      </x:c>
      <x:c r="C213" s="7" t="str">
        <x:v>QUATERNARY BUILD-UPS AND RHODALGAL CARBONATES ALONG THE ADRIATIC AND IONIAN COASTS OF THE ITALIAN PENINSULA: A REVIEW</x:v>
      </x:c>
      <x:c r="D213" s="7" t="str">
        <x:v>Giovanni Coletti | Valentina Alice Bracchi | Fabio Marchese | Daniela Basso | Alessandra Savini | Agostina Vertino | Cesare Corselli</x:v>
      </x:c>
      <x:c r="E213" s="11" t="str">
        <x:v>2018</x:v>
      </x:c>
      <x:c r="F213" s="7" t="str">
        <x:v>Ghent University Academic Bibliography (Ghent University)</x:v>
      </x:c>
      <x:c r="G213" s="7" t="str">
        <x:v>article</x:v>
      </x:c>
      <x:c r="H213" s="7" t="str">
        <x:v>10.13130/2039-4942/10269</x:v>
      </x:c>
      <x:c r="I213" s="7" t="str">
        <x:v>https://doi.org/10.13130/2039-4942/10269</x:v>
      </x:c>
      <x:c r="J213" s="7" t="str">
        <x:v>In the Mediterranean, build-ups (created by coralline algae, Cladocora caespitosa, deep-water corals, vermetids, polychaetes and bacteria) and rhodolith beds are important hot-spots of biodiversity. Being severely threatened by anthropogenic impact and climate change, they have been included in international directives on environmental protection. This work wants to support the ongoing research on modern bioconstructions by providing further data on the long-term effects of environmental factors on these habitats. Our results are based on the analysis of the existing literature on the outcropping Quaternary successions of the Adriatic and Ionian coasts of peninsular Italy. The existing reports of build-ups and rhodalgal carbonates have been summarized in an homogeneous data-set and then studied to highlight distribution patterns in space and time. The analyses consistently outlined the importance of sedimentation rate in controlling the general distribution of build-ups and rhodalgal carbonates. The majority of the reports is concentrated south of the Gargano, where the sediment-load of the rivers is small. The majority of the reports is related to coralline algae, suggesting that they were the main carbonate producers during the period. C. caespitosa general distribution is mainly controlled by temperature, with most of the occurrences dating back to the warm periods of the late Ionian and of the Tarantian. Large build-ups of Cladocora are restricted to embayments and gulfs well-protected against storm waves. The distribution of the outcrops of deep-water corals is biased by the geological setting. A remarkable uplift is necessary to bring these corals from their original deep-water setting to elevated areas onshore. Consequently, most of the outcrops are in Southern Calabria which is characterized by a strong Quaternary uplift. Chemosynthetic build-ups, intertidal bioconstructions (made by vermetids, polychaetes or coralline algae), as well as stromatolites, are rare in the study area.</x:v>
      </x:c>
      <x:c r="K213" s="11" t="str">
        <x:v>NO</x:v>
      </x:c>
      <x:c r="L213" s="7" t="str">
        <x:v>NOT_CONFIRMED</x:v>
      </x:c>
      <x:c r="M213" s="7" t="str"/>
      <x:c r="N213" s="7" t="str">
        <x:v>VERIFIED_DOI_DOCUMENT</x:v>
      </x:c>
      <x:c r="O213" s="7" t="str">
        <x:v>B02_DEEP_COLD_REVIEW_ASSESSMENT</x:v>
      </x:c>
      <x:c r="P213" s="11" t="str">
        <x:v>HIGH</x:v>
      </x:c>
      <x:c r="Q213" s="7" t="str">
        <x:v>Deep-water corals, Cladocora caespitosa, coralline algae, other Mediterranean bioconstructor organisms.</x:v>
      </x:c>
      <x:c r="R213" s="7" t="str">
        <x:v>Sedimentation rate is explicitly highlighted as a controlling factor in the distribution of build-ups and rhodalgal carbonates.</x:v>
      </x:c>
      <x:c r="S213" s="7" t="str">
        <x:v>Assessment of long-term environmental effects, particularly sedimentation rate, on the spatial and temporal distribution of these habitats via literature synthesis.</x:v>
      </x:c>
      <x:c r="T213" s="7" t="str">
        <x:v>Substantive review focused on Mediterranean build-ups including deep-water corals, assessing the role of sedimentation rate and other environmental factors on their distribution, with direct relevance to sediment-impact understanding.</x:v>
      </x:c>
      <x:c r="U213" s="7" t="str">
        <x:v>This is a substantive review article that explicitly addresses the role of sedimentation rate in controlling the distribution of Mediterranean carbonate build-ups, including deep-water corals and coralline algae. It qualifies under B02 as a deep/cold coral review with direct sediment-impact focus, providing synthesized evidence on environmental controls. The closest alternative would be B01, but the document is a review/assessment rather than primary empirical evidence. It is not excluded because it clearly identifies coral and sediment pathways and provides ecological/assessment information.</x:v>
      </x:c>
      <x:c r="V213" s="7" t="str">
        <x:v>ALL_VERIFIED_CENTRAL_PEER_REVIEWED</x:v>
      </x:c>
      <x:c r="W213" s="7" t="str">
        <x:v>TBV1-0126</x:v>
      </x:c>
    </x:row>
    <x:row r="214" ht="42" customHeight="1">
      <x:c r="A214" s="17" t="str">
        <x:v>B</x:v>
      </x:c>
      <x:c r="B214" s="7" t="str">
        <x:v>CWC-45E512F8B2C7</x:v>
      </x:c>
      <x:c r="C214" s="7" t="str">
        <x:v>Real time observation system for monitoring environmental impact on marine ecosystems from oil drilling operations</x:v>
      </x:c>
      <x:c r="D214" s="7" t="str">
        <x:v>Olav Rune Godø | Jarle Klungsøyr | Sonnich Meier | Eirik Tenningen | Autun Purser | Laurenz Thomsen</x:v>
      </x:c>
      <x:c r="E214" s="11" t="str">
        <x:v>2014</x:v>
      </x:c>
      <x:c r="F214" s="7" t="str">
        <x:v>Marine Pollution Bulletin</x:v>
      </x:c>
      <x:c r="G214" s="7" t="str">
        <x:v>article</x:v>
      </x:c>
      <x:c r="H214" s="7" t="str">
        <x:v>10.1016/j.marpolbul.2014.05.007</x:v>
      </x:c>
      <x:c r="I214" s="7" t="str">
        <x:v>https://doi.org/10.1016/j.marpolbul.2014.05.007</x:v>
      </x:c>
      <x:c r="J214" s="7" t="str">
        <x:v>Environmental awareness and technological advances has spurred development of new monitoring solutions for the petroleum industry. This paper presents experience from a monitoring program off Norway. To maintain operation within the limits of the government regulations Statoil tested a new monitoring concept. Multisensory data were cabled to surface buoys and transmitted to land via wireless communication. The system collected information about distribution of the drilling wastes and the welfare of the corals in relation to threshold values. The project experienced a series of failures, but the backup monitoring provided information to fulfil the requirements of the permit. The experience demonstrated the need for real time monitoring and how such systems enhance understanding of impacts on marine organisms. Also, drilling operations may improve by taking environmental information into account. The paper proposes to standardize and streamline monitoring protocols to maintain comparability during all phases of the operation and between drill sites. (C) 2014 Elsevier Ltd. All rights reserved.</x:v>
      </x:c>
      <x:c r="K214" s="11" t="str">
        <x:v>NO</x:v>
      </x:c>
      <x:c r="L214" s="7" t="str">
        <x:v>NOT_CONFIRMED</x:v>
      </x:c>
      <x:c r="M214" s="7" t="str"/>
      <x:c r="N214" s="7" t="str">
        <x:v>VERIFIED_DOI_DOCUMENT</x:v>
      </x:c>
      <x:c r="O214" s="7" t="str">
        <x:v>B01_DEEP_COLD_SEDIMENT_EVIDENCE</x:v>
      </x:c>
      <x:c r="P214" s="11" t="str">
        <x:v>HIGH</x:v>
      </x:c>
      <x:c r="Q214" s="7" t="str">
        <x:v>Corals (likely cold-water) off Norway</x:v>
      </x:c>
      <x:c r="R214" s="7" t="str">
        <x:v>Drilling wastes (cuttings/mud) distribution</x:v>
      </x:c>
      <x:c r="S214" s="7" t="str">
        <x:v>Coral welfare monitored against threshold values; system enhances understanding of impacts</x:v>
      </x:c>
      <x:c r="T214" s="7" t="str">
        <x:v>Direct deep/cold coral monitoring linked to drilling waste exposure and biological condition relative to thresholds.</x:v>
      </x:c>
      <x:c r="U214" s="7" t="str">
        <x:v>This article describes a monitoring program off Norway that collected data on drilling waste distribution and coral welfare relative to threshold values. The stressor is explicitly sediment-related drilling waste, and the response is biological condition of corals. This meets Tier B pathway B01 for deep/cold sediment evidence. The closest alternative B02 is not chosen because the document is a primary monitoring article rather than a review or assessment. The explicit mention of coral welfare and threshold values provides strong evidence of a sediment-impact focus.</x:v>
      </x:c>
      <x:c r="V214" s="7" t="str">
        <x:v>ALL_VERIFIED_CENTRAL_PEER_REVIEWED</x:v>
      </x:c>
      <x:c r="W214" s="7" t="str">
        <x:v>TBV1-0218</x:v>
      </x:c>
    </x:row>
    <x:row r="215" ht="42" customHeight="1">
      <x:c r="A215" s="17" t="str">
        <x:v>B</x:v>
      </x:c>
      <x:c r="B215" s="7" t="str">
        <x:v>CWC-9635B2F7A209</x:v>
      </x:c>
      <x:c r="C215" s="7" t="str">
        <x:v>Recovery at Morvin: SERPENT final report</x:v>
      </x:c>
      <x:c r="D215" s="7" t="str">
        <x:v>Andrew R. Gates | Daniel O. B. Jones</x:v>
      </x:c>
      <x:c r="E215" s="11" t="str">
        <x:v>2010</x:v>
      </x:c>
      <x:c r="F215" s="7" t="str">
        <x:v>ePrints Soton (University of Southampton)</x:v>
      </x:c>
      <x:c r="G215" s="7" t="str">
        <x:v>book</x:v>
      </x:c>
      <x:c r="H215" s="7" t="str"/>
      <x:c r="I215" s="7" t="str">
        <x:v>https://eprints.soton.ac.uk/194195/1/NOCSR_26C_86_Morvin.pdf</x:v>
      </x:c>
      <x:c r="J215" s="7" t="str">
        <x:v>Recovery from disturbance is poorly understood in deep water, but the extent of anthropogenic impacts is becoming increasingly well documented. We used Remotely Operated Vehicles (ROV) to visually assess the change in benthic habitat after exploratory hydrocarbon drilling disturbance around the Morvin well located at 380m depth in the Norwegian Sea. An ROV, launched directly from the rig drilling the well in 2006 was used to carry out video transects around the well before drilling and immediately after. On a return to the site three years after disturbance a larger survey was conducted with a ship-launched ROV in 2009. Transects were repeated at the disturbed area and random background transects were taken. Visible drill cuttings were mapped for each survey, and positions and counts of epibenthic invertebrate megafauna were determined, revealing a fauna dominated by Cnidaria (45% of total observations) and Porifera (33%). Immediately after disturbance a visible cuttings pile extended to over 100m from the well and megafaunal density was significantly reduced (0.07 individuals m-2) in comparison to pre-drill data (0.23 ind. m-2). Three years later the visible extent of the cuttings pile had reduced in size, reaching 60m from the well and considerably less in some headings. In comparison to background transects (0.21 ind. m-2), megafaunal density was significantly reduced on the remaining cuttings (0.04m-2), but beyond the visible disturbance there was no significant difference (0.15m-2). The investigation at this site shows a return to background densities of megafaunal organisms over a large extent of the area previously disturbed. However a central area, where the initial cuttings pile was deepest, demonstrated reduced sessile megafaunal density which persisted three years after disturbance. Elevated Barium concentration and reduced sediment grain size suggests persistence of disturbance beyond the remaining visibly impacted area which may result in changes to the infaunal communities undetectable by ROV video survey.</x:v>
      </x:c>
      <x:c r="K215" s="11" t="str">
        <x:v>NO</x:v>
      </x:c>
      <x:c r="L215" s="7" t="str">
        <x:v>NOT_CONFIRMED</x:v>
      </x:c>
      <x:c r="M215" s="7" t="str"/>
      <x:c r="N215" s="7" t="str">
        <x:v>VERIFIED_DIRECT_DOCUMENT_URL</x:v>
      </x:c>
      <x:c r="O215" s="7" t="str">
        <x:v>B01_DEEP_COLD_SEDIMENT_EVIDENCE</x:v>
      </x:c>
      <x:c r="P215" s="11" t="str">
        <x:v>HIGH</x:v>
      </x:c>
      <x:c r="Q215" s="7" t="str">
        <x:v>Deep-sea benthic megafauna dominated by Cnidaria (45%) and Porifera (33%), indicating cold-water coral and sponge communities.</x:v>
      </x:c>
      <x:c r="R215" s="7" t="str">
        <x:v>Drill cuttings and drilling disturbance from exploratory hydrocarbon drilling at Morvin well, Norwegian Sea, at 380m depth; visible cuttings pile extended over 100m from well immediately after disturbance and 60m after three years.</x:v>
      </x:c>
      <x:c r="S215" s="7" t="str">
        <x:v>Megafaunal density significantly reduced immediately after disturbance (0.07 ind/m2 vs pre-drill 0.23 ind/m2); three years later density on remaining cuttings was 0.04 ind/m2 vs background 0.21 ind/m2; reduced density persisted in central area where cuttings pile was deepest; elevated barium and reduced sediment grain size indicate persistent disturbance.</x:v>
      </x:c>
      <x:c r="T215" s="7" t="str">
        <x:v>This is a monitoring report of recovery after drilling disturbance in deep water, with explicit sediment pathway (drill cuttings) and biological impact evidence (megafaunal density changes) in a community dominated by corals and sponges, meeting B01_DEEP_COLD_SEDIMENT_EVIDENCE.</x:v>
      </x:c>
      <x:c r="U215" s="7" t="str">
        <x:v>The report directly assesses the effect of drill cuttings (a sediment/deposition pathway) on deep-sea benthic megafauna dominated by Cnidaria and Porifera. It provides quantitative before-after-impact data showing reduced densities and incomplete recovery after three years. This qualifies as B01 because it is a deep-sea/cold-water coral/sponge source with explicit sediment pathway and biological evidence. It is preferred over B02 (a review/assessment) because it is primary monitoring evidence, and over CHAIN_ONLY because it has direct target content. The only alternative would be EXCLUDE if the response were not separable for corals/sponges, but the dominance of these taxa makes the impact highly relevant.</x:v>
      </x:c>
      <x:c r="V215" s="7" t="str">
        <x:v>ALL_VERIFIED_NON_TROPICAL_TIER_B_INCLUSIONS</x:v>
      </x:c>
      <x:c r="W215" s="7" t="str">
        <x:v>TBV1-0061</x:v>
      </x:c>
    </x:row>
    <x:row r="216" ht="42" customHeight="1">
      <x:c r="A216" s="17" t="str">
        <x:v>B</x:v>
      </x:c>
      <x:c r="B216" s="7" t="str">
        <x:v>CWC-CE1395F728EC</x:v>
      </x:c>
      <x:c r="C216" s="7" t="str">
        <x:v>Recovery of Benthic Megafauna from Anthropogenic Disturbance at a Hydrocarbon Drilling Well (380 m Depth in the Norwegian Sea)</x:v>
      </x:c>
      <x:c r="D216" s="7" t="str">
        <x:v>Andrew R. Gates | Daniel O. B. Jones</x:v>
      </x:c>
      <x:c r="E216" s="11" t="str">
        <x:v>2012</x:v>
      </x:c>
      <x:c r="F216" s="7" t="str">
        <x:v>PLoS ONE</x:v>
      </x:c>
      <x:c r="G216" s="7" t="str">
        <x:v>article</x:v>
      </x:c>
      <x:c r="H216" s="7" t="str">
        <x:v>10.1371/journal.pone.0044114</x:v>
      </x:c>
      <x:c r="I216" s="7" t="str">
        <x:v>https://doi.org/10.1371/journal.pone.0044114</x:v>
      </x:c>
      <x:c r="J216" s="7" t="str">
        <x:v>Recovery from disturbance in deep water is poorly understood, but as anthropogenic impacts increase in deeper water it is important to quantify the process. Exploratory hydrocarbon drilling causes physical disturbance, smothering the seabed near the well. Video transects obtained by remotely operated vehicles were used to assess the change in invertebrate megafaunal density and diversity caused by drilling a well at 380 m depth in the Norwegian Sea in 2006. Transects were carried out one day before drilling commenced and 27 days, 76 days, and three years later. A background survey, further from the well, was also carried out in 2009. Porifera (45% of observations) and Cnidaria (40%) dominated the megafauna. Porifera accounted for 94% of hard-substratum organisms and cnidarians (Pennatulacea) dominated on the soft sediment (78%). Twenty seven and 76 days after drilling commenced, drill cuttings were visible, extending over 100 m from the well. In this area there were low invertebrate megafaunal densities (0.08 and 0.10 individuals m(-2)) in comparison to pre-drill conditions (0.21 individuals m(-2)). Three years later the visible extent of the cuttings had reduced, reaching 60 m from the well. Within this area the megafaunal density (0.05 individuals m(-2)) was lower than pre-drill and reference transects (0.23 individuals m(-2)). There was a significant increase in total megafaunal invertebrate densities with both distance from drilling and time since drilling although no significant interaction. Beyond the visible disturbance there were similar megafaunal densities (0.14 individuals m(-2)) to pre-drilling and background surveys. Species richness, Shannon-Weiner diversity and multivariate techniques showed similar patterns to density. At this site the effects of exploratory drilling on megafaunal invertebrate density and diversity seem confined to the extent of the visible cuttings pile. However, elevated Barium concentration and reduced sediment grain size suggest persistence of disturbance for three years, with unclear consequences for other components of the benthic fauna.</x:v>
      </x:c>
      <x:c r="K216" s="11" t="str">
        <x:v>YES</x:v>
      </x:c>
      <x:c r="L216" s="7" t="str">
        <x:v>FROZEN_PUBLIC_FULL_TEXT_LOCATION</x:v>
      </x:c>
      <x:c r="M216" s="7" t="str">
        <x:v>https://journals.plos.org/plosone/article/file?id=10.1371/journal.pone.0044114&amp;type=printable</x:v>
      </x:c>
      <x:c r="N216" s="7" t="str">
        <x:v>VERIFIED_DOI_DOCUMENT</x:v>
      </x:c>
      <x:c r="O216" s="7" t="str">
        <x:v>B01_DEEP_COLD_SEDIMENT_EVIDENCE</x:v>
      </x:c>
      <x:c r="P216" s="11" t="str">
        <x:v>HIGH</x:v>
      </x:c>
      <x:c r="Q216" s="7" t="str">
        <x:v>Deep-sea benthic megafauna dominated by Porifera (45%, 94% of hard substratum) and Cnidaria (40%, Pennatulacea 78% of soft sediment) at 380 m depth in the Norwegian Sea.</x:v>
      </x:c>
      <x:c r="R216" s="7" t="str">
        <x:v>Anthropogenic physical disturbance from exploratory hydrocarbon drilling: smothering by drill cuttings, visible cuttings extending &gt;100 m, elevated barium concentration, and reduced sediment grain size persisting for three years.</x:v>
      </x:c>
      <x:c r="S216" s="7" t="str">
        <x:v>Drill cuttings area showed reduced invertebrate megafaunal density (0.08 and 0.10 individuals m-2 vs 0.21 pre-drill) and diversity; three years later density remained lower (0.05 vs 0.23 reference) within visible cuttings, with significant increases in density and diversity with distance from drilling and time since drilling. Provides recovery and impact persistence assessment.</x:v>
      </x:c>
      <x:c r="T216" s="7" t="str">
        <x:v>Direct deep-sea study linking drilling-induced sediment smothering/drill-cuttings deposition to changes in cold-water sponge and coral-dominated megafaunal density and diversity, including recovery timeline. Meet B01 as explicit sediment pathway with biological impact evidence.</x:v>
      </x:c>
      <x:c r="U216" s="7" t="str">
        <x:v>This is a primary research article on deep-water benthic megafauna recovery after hydrocarbon drilling, explicitly evaluating smothering by drill cuttings and sediment disturbance at 380 m depth. The megafauna are dominated by Porifera and Cnidaria, including cold-water corals (Pennatulacea). The study reports reduced density and diversity within the visible cuttings area and persistence of sediment chemistry/grain size effects after three years, providing direct impact and recovery evidence. This clearly qualifies under B01 (deep/cold sediment evidence) with a biological/ecological response. It is preferred over CHAIN_ONLY because the abstract provides substantive direct evidence, not merely references. Excluded categories like X02 or X03 are not applicable because both sediment pathway and organism response are present. Confidence is HIGH based on detailed results.</x:v>
      </x:c>
      <x:c r="V216" s="7" t="str">
        <x:v>ALL_VERIFIED_CENTRAL_PEER_REVIEWED</x:v>
      </x:c>
      <x:c r="W216" s="7" t="str">
        <x:v>TBV1-0023</x:v>
      </x:c>
    </x:row>
    <x:row r="217" ht="42" customHeight="1">
      <x:c r="A217" s="17" t="str">
        <x:v>B</x:v>
      </x:c>
      <x:c r="B217" s="7" t="str">
        <x:v>CWC-E202FF6B6A6F</x:v>
      </x:c>
      <x:c r="C217" s="7" t="str">
        <x:v>Recreating pulsed turbidity events to determine coral–sediment thresholds for active management</x:v>
      </x:c>
      <x:c r="D217" s="7" t="str">
        <x:v>Nicola K. Browne | Jason K.L. Tay | Peter A. Todd</x:v>
      </x:c>
      <x:c r="E217" s="11" t="str">
        <x:v>2015</x:v>
      </x:c>
      <x:c r="F217" s="7" t="str">
        <x:v>Journal of Experimental Marine Biology and Ecology</x:v>
      </x:c>
      <x:c r="G217" s="7" t="str">
        <x:v>article</x:v>
      </x:c>
      <x:c r="H217" s="7" t="str">
        <x:v>10.1016/j.jembe.2015.02.010</x:v>
      </x:c>
      <x:c r="I217" s="7" t="str">
        <x:v>https://doi.org/10.1016/j.jembe.2015.02.010</x:v>
      </x:c>
      <x:c r="J217" s="7" t="str">
        <x:v>Active management of anthropogenically driven sediment resuspension events near coral reefs relies on an accurate assessment of coral thresholds to both suspended and deposited sediments. Yet the range of coral responses to sediments both within and amongst species has limited our ability to determine representative threshold values. This study reviews information available on coral physiological responses to a range of sediment loads at varying time frames and provides a novel approach to assess coral thresholds to suspended and deposited sediments. The new approach replicates natural turbidity regimes by creating pulsed turbidity events at two environmentally realistic levels (moderate = similar to 50 mg l(-1), peaks at 100 mg l(-1); severe = similar to 100 mg l(-1), peaks at 250 mg l(-1)). Corals (Merulina ampliata, Pachyseris speciosa, Platygyra sinensis) were subjected to two exposure regimes: pulsed turbidity events for four weeks followed by two months of recovery (constant regime) or pulsed turbidity events every other week followed by one month of recovery (periodic regime). Coral thresholds were greater than commonly used estimates with little to no effect on corals at moderate sediment levels. At extreme sediment levels, species morphological differences were potentially key determinants of coral survival. The periodic exposure regime was less detrimental to all coral species than the constant exposure regime as demonstrated by elevated yields and lower tissue morality rates. To improve knowledge on coral-sediment threshold values, research needs to expand to incorporate a broader range of species and exposure regimes. Realistic threshold values combined with modelling efforts would improve prediction of reef health and enable managers to react to declines in health before coral mortality occurs. (C) 2015 Elsevier B.V. All rights reserved.</x:v>
      </x:c>
      <x:c r="K217" s="11" t="str">
        <x:v>YES</x:v>
      </x:c>
      <x:c r="L217" s="7" t="str">
        <x:v>FROZEN_PUBLIC_FULL_TEXT_LOCATION</x:v>
      </x:c>
      <x:c r="M217" s="7" t="str">
        <x:v>https://espace.curtin.edu.au/bitstream/20.500.11937/11460/2/226956_226957.pdf</x:v>
      </x:c>
      <x:c r="N217" s="7" t="str">
        <x:v>VERIFIED_DOI_DOCUMENT</x:v>
      </x:c>
      <x:c r="O217" s="7" t="str">
        <x:v>B04_TROPICAL_PHYSICAL_SEDIMENT_ANALOGUE</x:v>
      </x:c>
      <x:c r="P217" s="11" t="str">
        <x:v>HIGH</x:v>
      </x:c>
      <x:c r="Q217" s="7" t="str">
        <x:v>Corals: Merulina ampliata, Pachyseris speciosa, Platygyra sinensis</x:v>
      </x:c>
      <x:c r="R217" s="7" t="str">
        <x:v>Suspended and deposited sediments; pulsed turbidity events at moderate (~50 mg/l, peaks 100) and severe (~100 mg/l, peaks 250) levels</x:v>
      </x:c>
      <x:c r="S217" s="7" t="str">
        <x:v>Coral thresholds, physiological responses, species morphological differences, tissue mortality rates, yields, recovery after exposure</x:v>
      </x:c>
      <x:c r="T217" s="7" t="str">
        <x:v>Direct experimental manipulation of sediment exposure on tropical corals with biological response measurements, suitable as a physical sediment analogue.</x:v>
      </x:c>
      <x:c r="U217" s="7" t="str">
        <x:v>This is a direct experimental study exposing tropical corals to controlled sediment pulses, measuring thresholds, mortality, and physiological responses. It clearly meets B04 as it tests physical sediment exposure and reports biological responses. The abstract explicitly discusses coral-sediment thresholds and survival under different regimes, providing evidence of sediment effects on corals. There is no ambiguity; the document is a substantive journal article. Excluded alternatives: B01/B02 are for deep/cold sources, which this is not; B03 non-tropical not applicable; B05 broad synthesis not relevant. Therefore B04 is appropriate.</x:v>
      </x:c>
      <x:c r="V217" s="7" t="str">
        <x:v>SPARING_TOP_25_TROPICAL_DIRECT_PHYSICAL_ANALOGUES</x:v>
      </x:c>
      <x:c r="W217" s="7" t="str">
        <x:v>TBV1-1194</x:v>
      </x:c>
    </x:row>
    <x:row r="218" ht="42" customHeight="1">
      <x:c r="A218" s="17" t="str">
        <x:v>B</x:v>
      </x:c>
      <x:c r="B218" s="7" t="str">
        <x:v>CWC-60AD65F9FB89</x:v>
      </x:c>
      <x:c r="C218" s="7" t="str">
        <x:v>Reefs and mounds</x:v>
      </x:c>
      <x:c r="D218" s="7" t="str">
        <x:v>J. Murray Roberts | Andrew J. Wheeler | André Freiwald | Stephen D. Cairns</x:v>
      </x:c>
      <x:c r="E218" s="11" t="str">
        <x:v>2009</x:v>
      </x:c>
      <x:c r="F218" s="7" t="str">
        <x:v>Cambridge University Press eBooks</x:v>
      </x:c>
      <x:c r="G218" s="7" t="str">
        <x:v>book-chapter</x:v>
      </x:c>
      <x:c r="H218" s="7" t="str">
        <x:v>10.1017/cbo9780511581588.005</x:v>
      </x:c>
      <x:c r="I218" s="7" t="str">
        <x:v>https://doi.org/10.1017/cbo9780511581588.005</x:v>
      </x:c>
      <x:c r="J218" s="7" t="str">
        <x:v>Even some zoologists and geologists perennially express surprise not only that corals exist in deep cold waters, but that in certain instances they create appreciable deposits of calcium carbonate, in the form of accumulations of their skeletal remains. Coral banks occurring in deep water on the Blake Plateau Thomas R. Stetson, Donald F. Squires and Richard M. Pratt (1962) Cold-water coral reefs and coral carbonate mounds are morphological features formed through complex interactions between biological and geological processes under suitable hydrodynamic conditions. Such interactions are common in marine systems with biological activity having a profound effect on a number of sedimentological processes: from diatom stabilisation of mudflat surfaces, to the role of algae in carbonate grapestone formation and the development of deep-water bioherms. Marine organisms can strongly influence their sedimentary environments and where their activities are focused in one place, distinct biogeological structures may be formed. Such scenarios often involve enhanced sediment accumulation through substratum stabilisation and/or sediment trapping and usually benefit the organisms in question, for instance by giving them a preferential position from which to feed and isolating them from the effects of scouring bedload transport. Such biogeological formations are not only common in the geological record, because they form persistent features, but also because such positive interactions are ubiquitous throughout Earth history.</x:v>
      </x:c>
      <x:c r="K218" s="11" t="str">
        <x:v>NO</x:v>
      </x:c>
      <x:c r="L218" s="7" t="str">
        <x:v>NOT_CONFIRMED</x:v>
      </x:c>
      <x:c r="M218" s="7" t="str"/>
      <x:c r="N218" s="7" t="str">
        <x:v>VERIFIED_DOI_DOCUMENT</x:v>
      </x:c>
      <x:c r="O218" s="7" t="str">
        <x:v>B02_DEEP_COLD_REVIEW_ASSESSMENT</x:v>
      </x:c>
      <x:c r="P218" s="11" t="str">
        <x:v>MEDIUM</x:v>
      </x:c>
      <x:c r="Q218" s="7" t="str">
        <x:v>Cold-water corals and coral carbonate mounds; deep-sea coral habitats.</x:v>
      </x:c>
      <x:c r="R218" s="7" t="str">
        <x:v>Sediment transport, sediment trapping, substratum stabilization, scouring bedload transport.</x:v>
      </x:c>
      <x:c r="S218" s="7" t="str">
        <x:v>Describes how sedimentological processes interact with coral biology to form reefs and mounds; discusses benefits such as preferential feeding positions and isolation from scouring bedload transport, as well as carbonate accumulation.</x:v>
      </x:c>
      <x:c r="T218" s="7" t="str">
        <x:v>Substantive book chapter on cold-water coral reefs and mounds that directly addresses sediment-related processes and their biological/geological interactions, providing context relevant to sediment-exposure effects and habitat formation.</x:v>
      </x:c>
      <x:c r="U218" s="7" t="str">
        <x:v>This record is a scholarly book chapter focused on cold-water coral reefs and mounds. The abstract explicitly discusses sedimentological processes (sediment trapping, substratum stabilization, bedload transport) and their interactions with coral biology, which fits a sediment-related pathway in deep-sea coral systems. As a review/assessment chapter, it qualifies under B02_DEEP_COLD_REVIEW_ASSESSMENT, even though the snippet does not detail organism-level response thresholds. The closest alternative is CHAIN_ONLY, but the direct sediment focus and coral relevance are sufficient for inclusion. Confidence is MEDIUM because the full text may further clarify the depth of sediment-impact coverage.</x:v>
      </x:c>
      <x:c r="V218" s="7" t="str">
        <x:v>ALL_VERIFIED_NON_TROPICAL_TIER_B_INCLUSIONS</x:v>
      </x:c>
      <x:c r="W218" s="7" t="str">
        <x:v>TBV1-0127</x:v>
      </x:c>
    </x:row>
    <x:row r="219" ht="42" customHeight="1">
      <x:c r="A219" s="17" t="str">
        <x:v>B</x:v>
      </x:c>
      <x:c r="B219" s="7" t="str">
        <x:v>CWC-FB0BDD1F5FD5</x:v>
      </x:c>
      <x:c r="C219" s="7" t="str">
        <x:v>Regional guidance on measures to protect corals and sponges during exploratory drilling - Canada-Newfoundland and Labrador Offshore Area</x:v>
      </x:c>
      <x:c r="D219" s="7" t="str"/>
      <x:c r="E219" s="11" t="str"/>
      <x:c r="F219" s="7" t="str">
        <x:v>Fisheries and Oceans Canada</x:v>
      </x:c>
      <x:c r="G219" s="7" t="str">
        <x:v>government_report</x:v>
      </x:c>
      <x:c r="H219" s="7" t="str"/>
      <x:c r="I219" s="7" t="str">
        <x:v>https://www.dfo-mpo.gc.ca/publications/pnw-ppe/coral-sponge-caraux-eponges/nfl-guidance-directives-brochure-tnl-eng.html?wbdisable=true</x:v>
      </x:c>
      <x:c r="J219" s="7" t="str">
        <x:v>The guidance in this document outlines recommendations and should not be taken as replacement of previously established environmental assessment conditions (CEAA 2012) or regulatory requirements. ## Follow-up and monitoring Follow-up and monitoring is informed by the pre-drill Seabed Investigation Survey results and the drill cuttings dispersion model. The Follow-up and Monitoring Plan will be submitted to the C-NLOPB and also reviewed by DFO. The monitoring program is used to determine: [...] Methods include visual survey and non-visual surveys (i.e. measurements of drill cuttings/waste ex</x:v>
      </x:c>
      <x:c r="K219" s="11" t="str">
        <x:v>YES</x:v>
      </x:c>
      <x:c r="L219" s="7" t="str">
        <x:v>FROZEN_PUBLIC_FULL_TEXT_LOCATION</x:v>
      </x:c>
      <x:c r="M219" s="7" t="str">
        <x:v>https://www.dfo-mpo.gc.ca/publications/pnw-ppe/coral-sponge-caraux-eponges/nfl-guidance-directives-brochure-tnl-eng.html?wbdisable=true</x:v>
      </x:c>
      <x:c r="N219" s="7" t="str">
        <x:v>VERIFIED_BIBLIOGRAPHIC_DOCUMENT</x:v>
      </x:c>
      <x:c r="O219" s="7" t="str">
        <x:v>B02_DEEP_COLD_REVIEW_ASSESSMENT</x:v>
      </x:c>
      <x:c r="P219" s="11" t="str">
        <x:v>HIGH</x:v>
      </x:c>
      <x:c r="Q219" s="7" t="str">
        <x:v>Cold-water corals and sponges in the Canada-Newfoundland and Labrador offshore area.</x:v>
      </x:c>
      <x:c r="R219" s="7" t="str">
        <x:v>Drill cuttings and drilling waste, including sediment dispersion and deposition from exploratory drilling.</x:v>
      </x:c>
      <x:c r="S219" s="7" t="str">
        <x:v>The report provides regional guidance and monitoring protocols for protecting corals and sponges, including pre-drill seabed investigations, drill cuttings dispersion modeling, and follow-up monitoring plans.</x:v>
      </x:c>
      <x:c r="T219" s="7" t="str">
        <x:v>B02_DEEP_COLD_REVIEW_ASSESSMENT: Government report directly focused on sediment/drill-cuttings impacts and protection measures for cold-water corals and sponges.</x:v>
      </x:c>
      <x:c r="U219" s="7" t="str">
        <x:v>This is a Fisheries and Oceans Canada government report providing regional guidance to protect corals and sponges during exploratory drilling. The abstract explicitly mentions drill cuttings dispersion model and follow-up monitoring, indicating a direct sediment/drill-cuttings pathway. This is a substantive regulatory/assessment document, so it qualifies under B02.</x:v>
      </x:c>
      <x:c r="V219" s="7" t="str">
        <x:v>ALL_VERIFIED_CSAS</x:v>
      </x:c>
      <x:c r="W219" s="7" t="str">
        <x:v>TBV1-0105</x:v>
      </x:c>
    </x:row>
    <x:row r="220" ht="42" customHeight="1">
      <x:c r="A220" s="17" t="str">
        <x:v>B</x:v>
      </x:c>
      <x:c r="B220" s="7" t="str">
        <x:v>GLV4-CD560E6425D2</x:v>
      </x:c>
      <x:c r="C220" s="7" t="str">
        <x:v>Report Nr. 37 (2008-2009) to the Storting</x:v>
      </x:c>
      <x:c r="D220" s="7" t="str"/>
      <x:c r="E220" s="11" t="str">
        <x:v>2008</x:v>
      </x:c>
      <x:c r="F220" s="7" t="str">
        <x:v>regjeringen.no</x:v>
      </x:c>
      <x:c r="G220" s="7" t="str">
        <x:v>report</x:v>
      </x:c>
      <x:c r="H220" s="7" t="str"/>
      <x:c r="I220" s="7" t="str">
        <x:v>https://www.regjeringen.no/contentassets/1b48042315f24b0182c3467f6f324d73/en-gb/pdfs/stm200820090037000en_pdfs.pdf</x:v>
      </x:c>
      <x:c r="J220" s="7" t="str">
        <x:v>seabed can also result in resuspension of sedi­ ments and sediment deposition on corals, sponges and other benthic animals. Other examples of local activities that may damage vulnerable habitat types such as coral reefs are extraction of coral rubble, deposition of Figure 5.2 Sponges Photo: Institute of Marine Research/MAREANO programme 59 2008– 2009 Report No. 37 to the Storting Integrated Management of the Marine Environment of the Norwegian Sea Figure 5.3 Branching corals are very vulnerable to fishing with gill nets. They can easily become entangled in the meshes, like the gorgonian coral</x:v>
      </x:c>
      <x:c r="K220" s="11" t="str">
        <x:v>YES</x:v>
      </x:c>
      <x:c r="L220" s="7" t="str">
        <x:v>PUBLIC_FULL_DOCUMENT_LOCATION</x:v>
      </x:c>
      <x:c r="M220" s="7" t="str">
        <x:v>https://www.regjeringen.no/contentassets/1b48042315f24b0182c3467f6f324d73/en-gb/pdfs/stm200820090037000en_pdfs.pdf</x:v>
      </x:c>
      <x:c r="N220" s="7" t="str">
        <x:v>VERIFIED_DIRECT_DOCUMENT_URL</x:v>
      </x:c>
      <x:c r="O220" s="7" t="str">
        <x:v>B02_DEEP_COLD_REVIEW_ASSESSMENT</x:v>
      </x:c>
      <x:c r="P220" s="11" t="str">
        <x:v>HIGH</x:v>
      </x:c>
      <x:c r="Q220" s="7" t="str">
        <x:v>Corals and sponges are explicitly mentioned as benthic animals affected by sediment deposition, with coral reefs as vulnerable habitat types.</x:v>
      </x:c>
      <x:c r="R220" s="7" t="str">
        <x:v>The report discusses resuspension of sediments and sediment deposition on corals, sponges, and other benthic animals, as well as local activities that may damage coral reefs.</x:v>
      </x:c>
      <x:c r="S220" s="7" t="str">
        <x:v>The report provides an integrated management assessment for the Norwegian Sea, identifying sediment-related impacts on vulnerable habitats and species, and informing management decisions.</x:v>
      </x:c>
      <x:c r="T220" s="7" t="str">
        <x:v>This is a substantive government report with a direct focus on sediment impacts on deep/cold-water corals and sponges, fitting the B02 review/assessment pathway.</x:v>
      </x:c>
      <x:c r="U220" s="7" t="str">
        <x:v>This is an official Norwegian government report (Report No. 37 to the Storting) on integrated management of the marine environment of the Norwegian Sea. The snippet explicitly mentions resuspension of sediments and sediment deposition on corals, sponges, and other benthic animals, and identifies activities that may damage vulnerable coral reef habitats. This qualifies as a deep/cold-water coral or sponge review/assessment with a clear sediment-impact focus, meeting B02_DEEP_COLD_REVIEW_ASSESSMENT. The alternative closest is EXCLUDE for not being organism-specific, but corals and sponges are directly named. CHAIN_ONLY is not appropriate because the document contains relevant evidence. Therefore, TIER_B_INCLUDE is warranted.</x:v>
      </x:c>
      <x:c r="V220" s="7" t="str">
        <x:v>ALL_VERIFIED_NON_TROPICAL_TIER_B_INCLUSIONS</x:v>
      </x:c>
      <x:c r="W220" s="7" t="str">
        <x:v>TBV1-0515</x:v>
      </x:c>
    </x:row>
    <x:row r="221" ht="42" customHeight="1">
      <x:c r="A221" s="17" t="str">
        <x:v>B</x:v>
      </x:c>
      <x:c r="B221" s="7" t="str">
        <x:v>CWC-7AA6008523AB</x:v>
      </x:c>
      <x:c r="C221" s="7" t="str">
        <x:v>Responses of coral reefs and reef organisms to sedimentation</x:v>
      </x:c>
      <x:c r="D221" s="7" t="str">
        <x:v>CS Rogers</x:v>
      </x:c>
      <x:c r="E221" s="11" t="str">
        <x:v>1990</x:v>
      </x:c>
      <x:c r="F221" s="7" t="str">
        <x:v>Marine Ecology Progress Series</x:v>
      </x:c>
      <x:c r="G221" s="7" t="str">
        <x:v>article</x:v>
      </x:c>
      <x:c r="H221" s="7" t="str">
        <x:v>10.3354/meps062185</x:v>
      </x:c>
      <x:c r="I221" s="7" t="str">
        <x:v>https://doi.org/10.3354/meps062185</x:v>
      </x:c>
      <x:c r="J221" s="7" t="str">
        <x:v>Unprecedented development along tropical shorelines is causing severe degradation of coral reefs primarily from increases in sedimentation. Sediment particles smother reef organisms and reduce light available for photosynthesis. Excessive sedmentation can adversely affect the structure and function of the coral reef ecosystem by altering both physical and biological processes. Mean sediment rates and suspended sediment concentrations for reefs not subject to stresses from human activities are &lt; 1 to ca 10 mg cm-* d-' and &lt; 10 mg I-', respectively. Chronic rates and concentrations above these values are 'hlgh'. Heavy sedmentation is associated with fewer coral species, less live coral, lower coral growth rates, greater abundance of branching forms, reduced coral recruitment, decreased calcification, decreased net productivity of corals, and slower rates of reef accretion. Coral species have different capabilities of clearing themselves of sediment particles or surviving lower light levels. Sedlment rejection is a function of morphology, orientation, growth habit, and behavior; and of the amount and type of s e l m e n t . Coral growth rates are not simple indicators of sediment levels. Decline of tropical fisheries is partially attributable to deterioration of coral reefs, seagrass beds, and mangroves from sedimentation. Sedimentation can alter the complex interactions between fish and their reef habitat. For example, sedimentation can lull major reef-building corals, leading to eventual collapse of the reef framework. A decline in the amount of shelter the reef provides leads to reductions in both number of individuals and number of species of fish. Currently, we are unable to rigorously predict the responses of coral reefs and reef organisms to excessive sedimentation from coastal development and other sources. Given information on the amount of sediment which will be introduced into the reef environment, the coral community composition, the depth of the reef, the percent coral cover, and the current patterns, we should be able to predict the consequences of a particular activity. Models of physical processes (e.g. sediment transport) must be complemented with better understanding of organism and ecosystem responses to sediment stress. Specifically, we need data on the threshold levels for reef orgarusms and for the reef ecosystem as a whole -the levels above which sedimentation has lethal effects for particular species and above which normal functioning of the reef ceases. Additional field studies on the responses of reef organisms to both temgenous and calcium carbonate sediments are necessary. To effectively assess trends on coral reefs, e.g. changes in abundance and spatial arrangement of dominant benthic organisms, scientists must start using standardized monitoring methods. Long-term data sets are critical for tracking these complex ecosystems.</x:v>
      </x:c>
      <x:c r="K221" s="11" t="str">
        <x:v>YES</x:v>
      </x:c>
      <x:c r="L221" s="7" t="str">
        <x:v>FROZEN_PUBLIC_FULL_TEXT_LOCATION</x:v>
      </x:c>
      <x:c r="M221" s="7" t="str"/>
      <x:c r="N221" s="7" t="str">
        <x:v>VERIFIED_DOI_DOCUMENT</x:v>
      </x:c>
      <x:c r="O221" s="7" t="str">
        <x:v>B05_BROAD_SYNTHESIS_WITH_TARGET_EVIDENCE</x:v>
      </x:c>
      <x:c r="P221" s="11" t="str">
        <x:v>HIGH</x:v>
      </x:c>
      <x:c r="Q221" s="7" t="str">
        <x:v>Coral reefs and reef organisms, focusing on corals (species, communities, reef framework), with implications for fish and other reef taxa.</x:v>
      </x:c>
      <x:c r="R221" s="7" t="str">
        <x:v>Sedimentation from coastal development; sediment particles, smothering, reduced light, suspended sediment concentrations, chronic sediment rates.</x:v>
      </x:c>
      <x:c r="S221" s="7" t="str">
        <x:v>Reduced coral species richness, live coral cover, growth rates, recruitment, calcification, net productivity, and reef accretion rates; sediment rejection capacities; threshold levels for lethal effects and normal reef functioning.</x:v>
      </x:c>
      <x:c r="T221" s="7" t="str">
        <x:v>This is a substantive synthesis/assessment of tropical coral reef responses to sedimentation, providing direct sediment-impact evidence and threshold context. It separately identifies coral and reef organism responses, fitting B05 as a broad sediment-effects synthesis with target evidence.</x:v>
      </x:c>
      <x:c r="U221" s="7" t="str">
        <x:v>The abstract is a comprehensive review of coral reef and organism responses to sedimentation, explicitly covering smothering, light reduction, and biological/ecological consequences such as decreased growth, recruitment, calcification, and live cover. It offers threshold values and discusses sediment rejection mechanisms. This is a synthesis specific to corals, not an original experimental study, so B04 is less appropriate. B01/B02/B03 are not applicable as it is tropical and not deep/cold. Thus B05 is the best fit, and the record is clearly within Tier B scope.</x:v>
      </x:c>
      <x:c r="V221" s="7" t="str">
        <x:v>ALL_VERIFIED_NON_TROPICAL_TIER_B_INCLUSIONS</x:v>
      </x:c>
      <x:c r="W221" s="7" t="str">
        <x:v>TBV1-1198</x:v>
      </x:c>
    </x:row>
    <x:row r="222" ht="42" customHeight="1">
      <x:c r="A222" s="17" t="str">
        <x:v>B</x:v>
      </x:c>
      <x:c r="B222" s="7" t="str">
        <x:v>GLV4-64B490BC5464</x:v>
      </x:c>
      <x:c r="C222" s="7" t="str">
        <x:v>review of the environmental impact statements</x:v>
      </x:c>
      <x:c r="D222" s="7" t="str"/>
      <x:c r="E222" s="11" t="str"/>
      <x:c r="F222" s="7" t="str">
        <x:v>waves-vagues.dfo-mpo.gc.ca</x:v>
      </x:c>
      <x:c r="G222" s="7" t="str">
        <x:v>environmental_impact_statement</x:v>
      </x:c>
      <x:c r="H222" s="7" t="str"/>
      <x:c r="I222" s="7" t="str">
        <x:v>https://waves-vagues.dfo-mpo.gc.ca/library-bibliotheque/4068958x.pdf</x:v>
      </x:c>
      <x:c r="J222" s="7" t="str">
        <x:v>of Residual Environmental Effects (review of information related to Corals / Sponges) Newfoundland and Labrador Region Science Response: Flemish Pass and Eastern Newfoundland Offshore Exploration Drilling Programs 3 o Section 8.6 – Environmental Monitoring and Follow-up (review of information related to Corals/Sponges) • Section 12.0 - Indigenous Communities and Activities: Environmental Effects Assessment o Section 12.3.2.2.3 - Atlantic salmon • Section 15.0 - Accidental Events o Section 15.4 - Fate and Behaviour of Potential Spills o Section 15.5 – Environmental Effects Assessment: Sections</x:v>
      </x:c>
      <x:c r="K222" s="11" t="str">
        <x:v>YES</x:v>
      </x:c>
      <x:c r="L222" s="7" t="str">
        <x:v>PUBLIC_FULL_DOCUMENT_LOCATION</x:v>
      </x:c>
      <x:c r="M222" s="7" t="str">
        <x:v>https://waves-vagues.dfo-mpo.gc.ca/library-bibliotheque/4068958x.pdf</x:v>
      </x:c>
      <x:c r="N222" s="7" t="str">
        <x:v>VERIFIED_DIRECT_DOCUMENT_URL</x:v>
      </x:c>
      <x:c r="O222" s="7" t="str">
        <x:v>B02_DEEP_COLD_REVIEW_ASSESSMENT</x:v>
      </x:c>
      <x:c r="P222" s="11" t="str">
        <x:v>HIGH</x:v>
      </x:c>
      <x:c r="Q222" s="7" t="str">
        <x:v>The document is a review of environmental impact statements focused on corals and sponges, explicitly referencing 'review of information related to Corals / Sponges' within the Newfoundland and Labrador offshore area.</x:v>
      </x:c>
      <x:c r="R222" s="7" t="str">
        <x:v>The context is offshore exploration drilling programs (Flemish Pass and Eastern Newfoundland), which inherently involve sediment-related stressors such as drill cuttings, drilling muds, and potential sediment deposition or resuspension.</x:v>
      </x:c>
      <x:c r="S222" s="7" t="str">
        <x:v>Provides an assessment of residual environmental effects on corals/sponges, including environmental monitoring and follow-up sections, representing a regulatory or science-response review relevant to impact assessment.</x:v>
      </x:c>
      <x:c r="T222" s="7" t="str">
        <x:v>B02_DEEP_COLD_REVIEW_ASSESSMENT: substantive government/regulatory science response reviewing environmental impact statements for drilling programs, with explicit focus on corals/sponges and potential sediment-related effects.</x:v>
      </x:c>
      <x:c r="U222" s="7" t="str">
        <x:v>This is an identifiable DFO science response document reviewing EIS information related to corals/sponges for offshore drilling programs. The drilling context implies sediment-related pathways, and the review provides assessment and monitoring evidence relevant to sediment impacts on deep-sea corals and sponges. It qualifies under B02 as a substantive government/regulatory assessment with a direct focus on corals/sponges. Exclusions do not apply because the document is a substantive assessment, not a discovery webpage, and explicitly targets corals/sponges within a sediment-associated industrial activity.</x:v>
      </x:c>
      <x:c r="V222" s="7" t="str">
        <x:v>ALL_VERIFIED_CSAS</x:v>
      </x:c>
      <x:c r="W222" s="7" t="str">
        <x:v>TBV1-0467</x:v>
      </x:c>
    </x:row>
    <x:row r="223" ht="42" customHeight="1">
      <x:c r="A223" s="17" t="str">
        <x:v>B</x:v>
      </x:c>
      <x:c r="B223" s="7" t="str">
        <x:v>CWC-386D236FF5A0</x:v>
      </x:c>
      <x:c r="C223" s="7" t="str">
        <x:v>Review: Sediment‐Related Controls on the Health of the Great Barrier Reef</x:v>
      </x:c>
      <x:c r="D223" s="7" t="str">
        <x:v>Peter B. Hairsine</x:v>
      </x:c>
      <x:c r="E223" s="11" t="str">
        <x:v>2017</x:v>
      </x:c>
      <x:c r="F223" s="7" t="str">
        <x:v>Vadose Zone Journal</x:v>
      </x:c>
      <x:c r="G223" s="7" t="str">
        <x:v>article</x:v>
      </x:c>
      <x:c r="H223" s="7" t="str">
        <x:v>10.2136/vzj2017.05.0115</x:v>
      </x:c>
      <x:c r="I223" s="7" t="str">
        <x:v>https://doi.org/10.2136/vzj2017.05.0115</x:v>
      </x:c>
      <x:c r="J223" s="7" t="str">
        <x:v>Core Ideas Linking terrestrial soil erosion to marine ecosystem degradation relies on a long chain of evidence. Excess terrestrial erosion impacts marine ecosystems via changes to marine food webs. A graphic summary of the spatial configuration of the sources and sinks is provided. Increased management of near‐coastal sediment sources and terrestrial sediment sinks is appropriate. Research needs include techniques for enhancing sediment trapping, response times, and nutrient tracking. Linking terrestrial soil erosion to the degradation of marine ecosystems relies on a long chain of evidence. Here, this chain of evidence is reviewed for Australia's Great Barrier Reef and its catchments. Excessive sediment delivery to the marine environment is one component of an interlinked group of stressors that include coral bleaching, damage by storms, and plagues of crown‐of‐thorns starfish. Sediment and the pollutants they carry are one of the drivers of marine ecosystem decline and adversely impact recovery following disturbance by other stressors. Significantly, a portion of the N species carried by fine sediment in the freshwater system is released in the marine environment, thereby perturbing marine ecology. Available controls on sediment and pollutant delivery are hillslope erosion rates, gully and streambank erosion rates, sediment deposition rates in sediment sinks including footslopes, floodplains, and water reservoirs, and the application rates of pesticides and fertilizers. By reducing sediment fluxes through the combined strategies of erosion control and deposition enhancement, near‐ and offshore impacts can be reduced. Gully and streambank erosion are more significant sources of fine sediment than hillslope erosion. Fertilizer and non‐fertilizer N and pesticides carried by sediment play an important role in coral reef degradation. A graphic summary of the spatial configuration the sources and sinks is provided to guide the prioritization of interventions. The scale of intervention required to achieve the desired marine outcome is so large that a combined voluntary and regulatory approach is needed.</x:v>
      </x:c>
      <x:c r="K223" s="11" t="str">
        <x:v>NO</x:v>
      </x:c>
      <x:c r="L223" s="7" t="str">
        <x:v>NOT_CONFIRMED</x:v>
      </x:c>
      <x:c r="M223" s="7" t="str"/>
      <x:c r="N223" s="7" t="str">
        <x:v>VERIFIED_DOI_DOCUMENT</x:v>
      </x:c>
      <x:c r="O223" s="7" t="str">
        <x:v>B05_BROAD_SYNTHESIS_WITH_TARGET_EVIDENCE</x:v>
      </x:c>
      <x:c r="P223" s="11" t="str">
        <x:v>HIGH</x:v>
      </x:c>
      <x:c r="Q223" s="7" t="str">
        <x:v>Coral reef ecosystems, specifically the Great Barrier Reef, are discussed.</x:v>
      </x:c>
      <x:c r="R223" s="7" t="str">
        <x:v>Excessive sediment delivery from terrestrial erosion, including fine sediment and associated pollutants (nitrogen, pesticides), to the marine environment.</x:v>
      </x:c>
      <x:c r="S223" s="7" t="str">
        <x:v>Sediment is identified as a driver of marine ecosystem decline, adversely impacting coral reef recovery following other disturbances; coral reef degradation is explicitly linked to sediment fluxes.</x:v>
      </x:c>
      <x:c r="T223" s="7" t="str">
        <x:v>This is a broad synthesis/assessment of sediment-related controls on a tropical coral reef ecosystem, explicitly reporting coral reef degradation as an impact. It qualifies under B05 because it provides relevant coral evidence within a broader synthesis of sediment effects, and is not limited to other taxa.</x:v>
      </x:c>
      <x:c r="U223" s="7" t="str">
        <x:v>This review explicitly links terrestrial sediment delivery to degradation of the Great Barrier Reef, mentioning coral bleaching and impaired recovery. It is a substantive synthesis with clear coral reef relevance, satisfying B05. The closest alternative would be exclusion for lack of direct coral response data, but the abstract itself states sediment and pollutants play an important role in coral reef degradation, providing assessment-level evidence. The document is not merely a physical transport study; it addresses biological and ecological impacts. Therefore, TIER_B_INCLUDE is appropriate.</x:v>
      </x:c>
      <x:c r="V223" s="7" t="str">
        <x:v>ALL_VERIFIED_NON_TROPICAL_TIER_B_INCLUSIONS</x:v>
      </x:c>
      <x:c r="W223" s="7" t="str">
        <x:v>TBV1-1325</x:v>
      </x:c>
    </x:row>
    <x:row r="224" ht="42" customHeight="1">
      <x:c r="A224" s="17" t="str">
        <x:v>B</x:v>
      </x:c>
      <x:c r="B224" s="7" t="str">
        <x:v>CWC-9C9F83D53A15</x:v>
      </x:c>
      <x:c r="C224" s="7" t="str">
        <x:v>Rock and roll: experiments on substrate movement and coral settlement</x:v>
      </x:c>
      <x:c r="D224" s="7" t="str">
        <x:v>Andrew Heyward | Christine Giuliano | Cathie A. Page | Carly J. Randall</x:v>
      </x:c>
      <x:c r="E224" s="11" t="str">
        <x:v>2024</x:v>
      </x:c>
      <x:c r="F224" s="7" t="str">
        <x:v>Coral Reefs</x:v>
      </x:c>
      <x:c r="G224" s="7" t="str">
        <x:v>article</x:v>
      </x:c>
      <x:c r="H224" s="7" t="str">
        <x:v>10.1007/s00338-024-02547-z</x:v>
      </x:c>
      <x:c r="I224" s="7" t="str">
        <x:v>https://doi.org/10.1007/s00338-024-02547-z</x:v>
      </x:c>
      <x:c r="J224" s="7" t="str">
        <x:v>Rubble is ubiquitous on coral reefs and can aggregate into fields, forming a significant component of the reef substrate. Rubble fields often remain unconsolidated, with the component rubble pieces subject to movement that is dependent on hydrodynamic forcing, rubble size, shape, and other factors. Settlement of corals to rubble fields has long been assumed, but the dynamic movement of rubble pieces has been presumed to deter settlement and is thought to contribute to high post-settlement mortality. Rubble often forms on coral reefs following severe disturbances, and is predicted to increase under climate change, with the potential to impact settlement and recruitment-dependent recovery processes. Through a series of laboratory and field experiments, we demonstrate that corals from broadcast spawning species on the Great Barrier Reef will settle on unstable substrates, even those in constant motion. We also observed more coral spat on settlement tiles suspended in the water column than those fixed to the reef using a common approach to censusing settlement. Sampling of natural rubble on the reef 50 days after a mass-spawning event confirmed the presence of similar numbers of coral settlers on rubble and on tiles fixed to the reef. These results suggest that rubble fields are places of significant settlement for broadcast spawning corals. Suspended tiles were also surprisingly effective in collecting coral settlers, demonstrating that a change in sampling protocol can produce significant variation in settlement data and strengthening the argument for standardisation of settlement-monitoring protocols, particularly at a time of growing need for reliable metrics. These results also suggest that movement of rubble is not precluding settlement outright, but rather post-settlement processes (i.e. competition, predation, shading or burial by shifting rubble) are limiting recruitment to rubble patches. Consequently, rubble stabilisation may increase the survival of spat that have settled in these environments.</x:v>
      </x:c>
      <x:c r="K224" s="11" t="str">
        <x:v>YES</x:v>
      </x:c>
      <x:c r="L224" s="7" t="str">
        <x:v>FROZEN_PUBLIC_FULL_TEXT_LOCATION</x:v>
      </x:c>
      <x:c r="M224" s="7" t="str">
        <x:v>https://link.springer.com/content/pdf/10.1007/s00338-024-02547-z.pdf</x:v>
      </x:c>
      <x:c r="N224" s="7" t="str">
        <x:v>VERIFIED_DOI_DOCUMENT</x:v>
      </x:c>
      <x:c r="O224" s="7" t="str">
        <x:v>B04_TROPICAL_PHYSICAL_SEDIMENT_ANALOGUE</x:v>
      </x:c>
      <x:c r="P224" s="11" t="str">
        <x:v>HIGH</x:v>
      </x:c>
      <x:c r="Q224" s="7" t="str">
        <x:v>Broadcast spawning corals on the Great Barrier Reef; coral spat/settlers observed on rubble and settlement tiles.</x:v>
      </x:c>
      <x:c r="R224" s="7" t="str">
        <x:v>Unstable/rubble substrate subject to movement; potential burial by shifting rubble; also suspended tiles compared to fixed tiles.</x:v>
      </x:c>
      <x:c r="S224" s="7" t="str">
        <x:v>Coral settlement success on moving substrates; post-settlement mortality/recruitment limitation due to burial and other processes; settlement counts on natural rubble and tiles.</x:v>
      </x:c>
      <x:c r="T224" s="7" t="str">
        <x:v>Tropical coral study directly experimentally testing physical substrate movement/instability and burial-related effects on settlement, an eligible biological response under B04.</x:v>
      </x:c>
      <x:c r="U224" s="7" t="str">
        <x:v>This article reports laboratory and field experiments on coral settlement onto unstable, moving rubble. The study directly addresses a physical sediment-related stressor (substrate movement and potential burial by shifting rubble) and measures settlement, a clearly relevant biological response. Although rubble is coarse, the burial and smothering pathway is explicitly identified as a post-settlement mortality factor. This matches B04's scope of tropical physical sediment analogues with direct experimental testing and relevant responses. It is not merely mention of sediment; the experiments are central. The record is a substantive peer-reviewed article, so it is eligible for Tier B inclusion. Confidence is high due to explicit abstract content.</x:v>
      </x:c>
      <x:c r="V224" s="7" t="str">
        <x:v>SPARING_TOP_25_TROPICAL_DIRECT_PHYSICAL_ANALOGUES</x:v>
      </x:c>
      <x:c r="W224" s="7" t="str">
        <x:v>TBV1-1200</x:v>
      </x:c>
    </x:row>
    <x:row r="225" ht="42" customHeight="1">
      <x:c r="A225" s="17" t="str">
        <x:v>B</x:v>
      </x:c>
      <x:c r="B225" s="7" t="str">
        <x:v>CWC-C50EA41AD172</x:v>
      </x:c>
      <x:c r="C225" s="7" t="str">
        <x:v>RRS Charles Darwin Cruise 179, 14 Apr - 17 May 2006. Hotspot ecosystem research in the Setúbal, Lisbon, Cascais and Nazaré canyons on the Portuguese continental margin</x:v>
      </x:c>
      <x:c r="D225" s="7" t="str">
        <x:v>D. S. M. Billett</x:v>
      </x:c>
      <x:c r="E225" s="11" t="str">
        <x:v>2006</x:v>
      </x:c>
      <x:c r="F225" s="7" t="str">
        <x:v>ePrints Soton (University of Southampton)</x:v>
      </x:c>
      <x:c r="G225" s="7" t="str">
        <x:v>book</x:v>
      </x:c>
      <x:c r="H225" s="7" t="str"/>
      <x:c r="I225" s="7" t="str">
        <x:v>https://eprints.soton.ac.uk/43104/1/nocscr013.pdf</x:v>
      </x:c>
      <x:c r="J225" s="7" t="str">
        <x:v>RRS Charles Darwin Cruise 179 was one of a series of cruises studying the biology, geology, biogeochemistry and physical oceanography of the Portuguese margin canyons. The cruise contributed to the European Union Framework Programme VI Integrated Project HERMES (Hotspot Ecosystem Research on the Margins of European Seas). Four key canyon areas on the European margin are being studied in HERMES: the Portuguese margin, the Irish margin and the Western and Eastern Mediterranean. On the Portuguese margin four canyons had been selected for multidisciplinary studies by the HERMES community: the Nazaré Canyon, Setúbal Canyon, Lisbon Canyon and the Cascais Canyon. RRS Charles Darwin cruise 179 was divided into two legs (Cartagena to Lisbon, 14 April to 1 May 2006; Lisbon to Falmouth, 1 to 17 May 2006). Leg 1 focused on the upper and middle parts of the Setúbal and Lisbon canyons, which join together at a depth of about 2000m, and the upper and middle Cascais Canyon. Leg 2 sampled the lower Cascais and Setúbal canyons and a wide variety of depths in the Nazaré Canyon. The principal sampling activities were seabed photographic and video imaging (NOCS SHRIMP system), deep-tow 30 kHz sidescan sonar imaging (NOCS TOBI system), coring (Megacorer, Piston Corer and Box Corer), trawling (Agassiz Trawl), and benthic boundary layer particulate biogeochemistry using CTD-mounted Stand Alone Pump Systems (SAPS). Seabed photo-transects at depths between 300 and 4500m confirmed that large parts of all the canyons were covered in a sediment drape, with little evidence of epifaunal megafauna within the canyon axis, but with localised communities of suspension feeding sponges, cnidarians (soft and stony corals), crinoids and asteroids on rocky ledges around the thalweg (central channel) of the canyons. Photo-transects across the thalwegs of the canyons revealed fascinating changes in the nature of the seabed (e.g. ripple patterns) and fauna (e.g. xenophyophores (giant protozoans) on the flanks of the Nazaré Canyon thalweg). New sidescan sonar images were obtained of the Lisbon and Cascais canyons and the base of the continental slope in the vicinity of the Cascais and Setúbal canyons. Coring and trawling focused on comparable sites at c. 3400m and 4400m in the lower canyons. Burrowing holothurians were evident in all three canyons at c. 3400m, but only in the Nazaré Canyon were they superabundant. This was the penultimate scientific cruise of RRS Charles Darwin. The ship has given UK and European marine science many years of excellent service. She will be greatly missed, and will be succeeded by RRS James Cook in 2006.</x:v>
      </x:c>
      <x:c r="K225" s="11" t="str">
        <x:v>NO</x:v>
      </x:c>
      <x:c r="L225" s="7" t="str">
        <x:v>NOT_CONFIRMED</x:v>
      </x:c>
      <x:c r="M225" s="7" t="str"/>
      <x:c r="N225" s="7" t="str">
        <x:v>VERIFIED_DIRECT_DOCUMENT_URL</x:v>
      </x:c>
      <x:c r="O225" s="7" t="str">
        <x:v>B01_DEEP_COLD_SEDIMENT_EVIDENCE</x:v>
      </x:c>
      <x:c r="P225" s="11" t="str">
        <x:v>MEDIUM</x:v>
      </x:c>
      <x:c r="Q225" s="7" t="str">
        <x:v>Deep-sea stony corals, soft corals (cnidarians), and suspension-feeding sponges observed in Portuguese margin canyons.</x:v>
      </x:c>
      <x:c r="R225" s="7" t="str">
        <x:v>Sediment drape covering large parts of canyons, with little epifaunal megafauna in canyon axis; rocky ledges around thalweg host communities.</x:v>
      </x:c>
      <x:c r="S225" s="7" t="str">
        <x:v>Observational evidence of sparse epifauna in sedimented canyon axes and localized coral/sponge communities on rocky ledges; monitoring photos/video.</x:v>
      </x:c>
      <x:c r="T225" s="7" t="str">
        <x:v>Deep-sea cold-water coral/sponge source with an explicit sediment deposition pathway (sediment drape) and biological/ecological distribution evidence; fits B01.</x:v>
      </x:c>
      <x:c r="U225" s="7" t="str">
        <x:v>Deep-sea canyon cruise report explicitly links sediment drape in canyon axes to sparse epifaunal megafauna, while corals and suspension-feeding sponges occur on rocky ledges. This is ecological condition/monitoring evidence for sediment deposition effects on deep corals/sponges, meeting B01. Chosen B01 over B02 because the record provides primary observational evidence rather than a synthesis/assessment; over B03 because it is deep-sea, not temperate/polar; over B04 because it is not tropical. Confidence medium because abstract provides sufficient details.</x:v>
      </x:c>
      <x:c r="V225" s="7" t="str">
        <x:v>ALL_VERIFIED_NON_TROPICAL_TIER_B_INCLUSIONS</x:v>
      </x:c>
      <x:c r="W225" s="7" t="str">
        <x:v>TBV1-0138</x:v>
      </x:c>
    </x:row>
    <x:row r="226" ht="42" customHeight="1">
      <x:c r="A226" s="17" t="str">
        <x:v>B</x:v>
      </x:c>
      <x:c r="B226" s="7" t="str">
        <x:v>CWC-E052454A24D0</x:v>
      </x:c>
      <x:c r="C226" s="7" t="str">
        <x:v>RV SONNE Fahrtbericht / Cruise Report SO242-1: JPI OCEANS Ecological Aspects of Deep-Sea Mining, DISCOL Revisted, Guayaquil - Guayaquil (Equador), 28.07.-25.08.2015</x:v>
      </x:c>
      <x:c r="D226" s="7" t="str">
        <x:v>Jens Greinert</x:v>
      </x:c>
      <x:c r="E226" s="11" t="str">
        <x:v>2015</x:v>
      </x:c>
      <x:c r="F226" s="7" t="str">
        <x:v>Helmholtz Centre for Ocean Research Kiel (GEOMAR)</x:v>
      </x:c>
      <x:c r="G226" s="7" t="str">
        <x:v>book</x:v>
      </x:c>
      <x:c r="H226" s="7" t="str">
        <x:v>10.3289/geomar_rep_ns_26_2015</x:v>
      </x:c>
      <x:c r="I226" s="7" t="str">
        <x:v>https://doi.org/10.3289/geomar_rep_ns_26_2015</x:v>
      </x:c>
      <x:c r="J226" s="7" t="str">
        <x:v>Cruise SO242/1 ran from 28 July to 25 August 2015 starting and ending in Guayaquil, Ecuador. In \ntotal, 40 scientists from five European countries took part in this cruise of the JPIO project ‚Ecological \nAspects of Deep‐Sea Mining‘ to study the ecological long‐term impact of deep sea disturbances. The \nworking area, the DISCOL area in the Peru Basin, was ploughed in 1989 and thoroughly studied in the \nyears thereafter, the last cruise, SO106, happened in 1996. \nSO242/2 aimed at mapping the DISCOL Experimental Area (DEA) in great detail using ship‐based \nand AUV‐based hydroacoustic and optical methods. To see changes between differently disturbed \nareas and study the possible recovery of the ecosystem, biological sampling occurred with TV‐guided \nmulti‐coring (MUC), box coring (BC) and epi‐benthic sledge tracks (EBS). Additional biological \nsampling for scavenging animals occurred with baited Amphipod‐Traps within and further outside \nthe DEA. For geochemical sampling, multi‐, box and gravity coring (BC) was used. Two lander systems \nequipped with physical sensors such as ADCPs and CTDs were used for current measurements and to \nmonitor sediment plume dispersal created by the EBS. Additional visual studies of the fauna \ndistribution occurred with camera tows (OFOS). \nFive main sampling areas were selected, two within the DEA targeting heavily disturbed \n(ploughed) locations and three reference areas 3 to 4 nmi outside the DEA. All five areas had been \nsampled in the past and can be directly compared concerning ecological changes. Despite a four‐day \nbreak due to medical reasons the work program could almost be completed. Four of the working \nareas were at least sampled with five BCs and MUCs each, and one GC. Box coring could not be \nperformed in the western reference area. In total, 5 CTDs, 27 MUCs, 25 BCs, 7 GCs, 8 EBSs, 5 \nAmphipod‐Traps, 6 lander deployments and 6 OFOS tracks were successfully undertaken and one \nthermistor mooring was deployed. \nIn addition, 16 AUV dives clearly showed that plough marks are still well visible after 26 years. \nThere is a slight sediment cover next to the plough tracks, but first analyses of the faunal distribution \nshow that the sessile fauna has not yet recolonised the tracks. Stalked sponges, corals and anemones \ncan be found outside the tracks but still within the DEA. Their distribution patterns inside the DEA do \nnot vary clearly from those on reference sites. The Mn‐nodule distribution is not homogenous; there \nare areas inside the DEA that do not have nodules at the seafloor surface; they are typically linked to \ndepressions that show low backscatter intensity in the AUV side scan sonar data pointing towards \nless dense sediment infill. In gravity cores, nodules could be recovered even in 9m sediment depth, \nfinding several more or less intact nodules throughout the entire sediment column was common. \nWater current measurements show slow currents (max. 6cm/s) and a strong tide‐influenced current \ndirection, whereas no general direction could be observed. Two ‘disturbance experiments’ \ndemonstrated that sediment plumes can be monitored using high frequency ADCPs (1200 kHz). The \ndisturbance by the EBS created a sediment plume that stayed close to the seafloor. First analyses of \ncurrent trajectories showed that the sediment resettled rather quickly. It became clear that plume \nbehaviour during large‐scale mining cannot be extrapolated from these small‐scale and short‐term \nexperiments. In resume, cruise SO242/1 was very successful and research should continue in the DEA \narea, which is undoubtedly the best studied long‐term deep sea disturbance site in the ocean.</x:v>
      </x:c>
      <x:c r="K226" s="11" t="str">
        <x:v>NO</x:v>
      </x:c>
      <x:c r="L226" s="7" t="str">
        <x:v>NOT_CONFIRMED</x:v>
      </x:c>
      <x:c r="M226" s="7" t="str"/>
      <x:c r="N226" s="7" t="str">
        <x:v>VERIFIED_DOI_DOCUMENT</x:v>
      </x:c>
      <x:c r="O226" s="7" t="str">
        <x:v>B01_DEEP_COLD_SEDIMENT_EVIDENCE</x:v>
      </x:c>
      <x:c r="P226" s="11" t="str">
        <x:v>HIGH</x:v>
      </x:c>
      <x:c r="Q226" s="7" t="str">
        <x:v>Deep-sea sessile fauna, explicitly stalked sponges, corals, and anemones in the DISCOL area (Peru Basin).</x:v>
      </x:c>
      <x:c r="R226" s="7" t="str">
        <x:v>Historical seafloor ploughing (deep-sea mining disturbance), sediment plumes from epibenthic sledge, sediment cover near tracks, resuspension and resettlement of sediment.</x:v>
      </x:c>
      <x:c r="S226" s="7" t="str">
        <x:v>Observations that sessile fauna have not recolonised ploughed tracks; fauna present outside tracks but within the DEA; monitoring of plume dispersal and sediment resettlement; first analyses of faunal distribution.</x:v>
      </x:c>
      <x:c r="T226" s="7" t="str">
        <x:v>Deep-sea cruise report providing direct evidence of sediment-related disturbance effects on cold-water corals and sponges through monitoring of sediment plumes and faunal recolonisation patterns.</x:v>
      </x:c>
      <x:c r="U226" s="7" t="str">
        <x:v>This cruise report for SO242-1 directly investigates ecological impacts of deep-sea mining disturbance, including sediment ploughing and plume formation. It explicitly reports sediment plumes, resettlement, and the distribution of stalked sponges, corals, and anemones relative to ploughed tracks, showing lack of recolonisation. This meets B01 deep/cold sediment evidence with explicit biological response. B02 is less appropriate because this is a primary cruise report rather than a synthesis or assessment, though it also functions as a monitoring document. Exclusions do not apply; organism, pathway, and response are all clearly present.</x:v>
      </x:c>
      <x:c r="V226" s="7" t="str">
        <x:v>ALL_VERIFIED_NON_TROPICAL_TIER_B_INCLUSIONS</x:v>
      </x:c>
      <x:c r="W226" s="7" t="str">
        <x:v>TBV1-0087</x:v>
      </x:c>
    </x:row>
    <x:row r="227" ht="42" customHeight="1">
      <x:c r="A227" s="17" t="str">
        <x:v>B</x:v>
      </x:c>
      <x:c r="B227" s="7" t="str">
        <x:v>GLV4-ED965EF17FED</x:v>
      </x:c>
      <x:c r="C227" s="7" t="str">
        <x:v>Science Advisory Report 2013/062</x:v>
      </x:c>
      <x:c r="D227" s="7" t="str"/>
      <x:c r="E227" s="11" t="str">
        <x:v>2013</x:v>
      </x:c>
      <x:c r="F227" s="7" t="str">
        <x:v>csas-scas.dfo-mpo.gc.ca</x:v>
      </x:c>
      <x:c r="G227" s="7" t="str">
        <x:v>government_report</x:v>
      </x:c>
      <x:c r="H227" s="7" t="str"/>
      <x:c r="I227" s="7" t="str">
        <x:v>https://csas-scas.dfo-mpo.gc.ca/publications/771bf222-d2f3-4ee5-b7ca-2a4e4c5ecb3e</x:v>
      </x:c>
      <x:c r="J227" s="7" t="str">
        <x:v>This Science Advisory Report is from the Identification and Evaluation of Biological Effects and Impacts of Sediment to Sponge Communities in</x:v>
      </x:c>
      <x:c r="K227" s="11" t="str">
        <x:v>NO</x:v>
      </x:c>
      <x:c r="L227" s="7" t="str">
        <x:v>NOT_CONFIRMED</x:v>
      </x:c>
      <x:c r="M227" s="7" t="str"/>
      <x:c r="N227" s="7" t="str">
        <x:v>VERIFIED_BIBLIOGRAPHIC_DOCUMENT</x:v>
      </x:c>
      <x:c r="O227" s="7" t="str">
        <x:v>B02_DEEP_COLD_REVIEW_ASSESSMENT</x:v>
      </x:c>
      <x:c r="P227" s="11" t="str">
        <x:v>HIGH</x:v>
      </x:c>
      <x:c r="Q227" s="7" t="str">
        <x:v>Sponge communities (likely deep/cold-water, Canadian context)</x:v>
      </x:c>
      <x:c r="R227" s="7" t="str">
        <x:v>Sediment exposure and biological impacts</x:v>
      </x:c>
      <x:c r="S227" s="7" t="str">
        <x:v>Evaluation of biological effects and impacts of sediment on sponge communities; science advisory report providing assessment and potential thresholds/vulnerability information</x:v>
      </x:c>
      <x:c r="T227" s="7" t="str">
        <x:v>Government science advisory report directly focused on sediment effects on sponge communities, intended to inform impact assessment and management; meets Tier B review/assessment pathway.</x:v>
      </x:c>
      <x:c r="U227" s="7" t="str">
        <x:v>This is a Fisheries and Oceans Canada Science Advisory Report explicitly titled 'Identification and Evaluation of Biological Effects and Impacts of Sediment to Sponge Communities'. It is a substantive government assessment document directly addressing sediment impacts on cold-water sponges, with clear relevance to effects, exposure, thresholds, and vulnerability. This qualifies under B02_DEEP_COLD_REVIEW_ASSESSMENT. The closest alternative is EXCLUDE if lacking direct sponge evidence, but the title and abstract indicate a targeted sediment-sponge evaluation.</x:v>
      </x:c>
      <x:c r="V227" s="7" t="str">
        <x:v>ALL_VERIFIED_CSAS</x:v>
      </x:c>
      <x:c r="W227" s="7" t="str">
        <x:v>TBV1-0992</x:v>
      </x:c>
    </x:row>
    <x:row r="228" ht="42" customHeight="1">
      <x:c r="A228" s="17" t="str">
        <x:v>B</x:v>
      </x:c>
      <x:c r="B228" s="7" t="str">
        <x:v>CWC-79D114AA011B</x:v>
      </x:c>
      <x:c r="C228" s="7" t="str">
        <x:v>Science Advisory Report 2021/028</x:v>
      </x:c>
      <x:c r="D228" s="7" t="str"/>
      <x:c r="E228" s="11" t="str">
        <x:v>2021</x:v>
      </x:c>
      <x:c r="F228" s="7" t="str">
        <x:v>Fisheries and Oceans Canada</x:v>
      </x:c>
      <x:c r="G228" s="7" t="str">
        <x:v>regulator_assessment</x:v>
      </x:c>
      <x:c r="H228" s="7" t="str"/>
      <x:c r="I228" s="7" t="str">
        <x:v>https://www.dfo-mpo.gc.ca/csas-sccs/Publications/SAR-AS/2021/2021_028-eng.html</x:v>
      </x:c>
      <x:c r="J228" s="7" t="str">
        <x:v># Science Advisory Report 2021/028. ## Coral and Sponge Mitigations in Relation to Exploratory Drilling Programs in the Newfoundland and Labrador Region. * An avoidance and mitigation framework was developed for exploratory drilling to eliminate or minimize impacts on corals and sponges. * It is recommended that exploratory drilling activities (including the zone of influence) do not overlap significant benthic areas (SiBAs) and vulnerable marine ecosystem (VME) habitats. * Outside of SiBAs and VME habitats, the zone of influence from exploratory drilling activities should be at least 2 km awa</x:v>
      </x:c>
      <x:c r="K228" s="11" t="str">
        <x:v>YES</x:v>
      </x:c>
      <x:c r="L228" s="7" t="str">
        <x:v>FROZEN_PUBLIC_FULL_TEXT_LOCATION</x:v>
      </x:c>
      <x:c r="M228" s="7" t="str">
        <x:v>https://www.dfo-mpo.gc.ca/csas-sccs/Publications/SAR-AS/2021/2021_028-eng.html</x:v>
      </x:c>
      <x:c r="N228" s="7" t="str">
        <x:v>VERIFIED_BIBLIOGRAPHIC_DOCUMENT</x:v>
      </x:c>
      <x:c r="O228" s="7" t="str">
        <x:v>B02_DEEP_COLD_REVIEW_ASSESSMENT</x:v>
      </x:c>
      <x:c r="P228" s="11" t="str">
        <x:v>HIGH</x:v>
      </x:c>
      <x:c r="Q228" s="7" t="str">
        <x:v>Corals and sponges in the Newfoundland and Labrador region, including significant benthic areas (SiBAs) and vulnerable marine ecosystem (VME) habitats.</x:v>
      </x:c>
      <x:c r="R228" s="7" t="str">
        <x:v>Exploratory drilling activities, including zone of influence, which encompasses sediment-related impacts such as drill cuttings and drilling muds.</x:v>
      </x:c>
      <x:c r="S228" s="7" t="str">
        <x:v>Avoidance and mitigation framework to eliminate or minimize impacts; recommends no overlap between drilling zone of influence and SiBAs/VMEs; suggests a minimum 2 km separation from sensitive areas.</x:v>
      </x:c>
      <x:c r="T228" s="7" t="str">
        <x:v>B02_DEEP_COLD_REVIEW_ASSESSMENT: A substantive government / regulator assessment (Fisheries and Oceans Canada Science Advisory Report) focused on coral and sponge mitigation in relation to drilling, a sediment-related activity. It provides direct management thresholds and avoidance guidance relevant to sediment exposure from exploratory drilling.</x:v>
      </x:c>
      <x:c r="U228" s="7" t="str">
        <x:v>This record is a Fisheries and Oceans Canada Science Advisory Report specifically addressing coral and sponge mitigations for exploratory drilling in the Newfoundland and Labrador region. It directly concerns cold-water corals and sponges and the sediment-related impacts of drilling (zone of influence, likely including drill cuttings and muds). The document provides assessment and management recommendations, including avoidance of significant benthic areas and a minimum offset distance. This meets Tier B pathway B02 as a deep/cold review or regulatory assessment with a clear sediment-impact focus. It is not merely a reference source (CHAIN_ONLY) because it contains substantive impact and mitigation content, and it is not excluded because the organism, stressor, and assessment are all explicit.</x:v>
      </x:c>
      <x:c r="V228" s="7" t="str">
        <x:v>ALL_VERIFIED_CSAS</x:v>
      </x:c>
      <x:c r="W228" s="7" t="str">
        <x:v>TBV1-0140</x:v>
      </x:c>
    </x:row>
    <x:row r="229" ht="42" customHeight="1">
      <x:c r="A229" s="17" t="str">
        <x:v>B</x:v>
      </x:c>
      <x:c r="B229" s="7" t="str">
        <x:v>SUPP-SSV3-006</x:v>
      </x:c>
      <x:c r="C229" s="7" t="str">
        <x:v>Science Review of the Old Harry Prospect Exploration Drilling Program</x:v>
      </x:c>
      <x:c r="D229" s="7" t="str">
        <x:v>Fisheries and Oceans Canada</x:v>
      </x:c>
      <x:c r="E229" s="11" t="str">
        <x:v>2013</x:v>
      </x:c>
      <x:c r="F229" s="7" t="str">
        <x:v>Canadian Science Advisory Secretariat, Science Response 2013/014</x:v>
      </x:c>
      <x:c r="G229" s="7" t="str">
        <x:v>science response</x:v>
      </x:c>
      <x:c r="H229" s="7" t="str"/>
      <x:c r="I229" s="7" t="str">
        <x:v>https://waves-vagues.dfo-mpo.gc.ca/library-bibliotheque/350500.pdf</x:v>
      </x:c>
      <x:c r="J229" s="7" t="str">
        <x:v>Peer-reviewed technical review of an exploratory-drilling environmental assessment and drill-mud/cuttings dispersion model. It discusses deep-water coral and sponge occurrence near the project and reviews literature on drilling-fluid and cuttings effects, but organism-specific response evidence in the report is uncertain.</x:v>
      </x:c>
      <x:c r="K229" s="11" t="str">
        <x:v>YES</x:v>
      </x:c>
      <x:c r="L229" s="7" t="str">
        <x:v>AUTHORITATIVE_FULL_DOCUMENT</x:v>
      </x:c>
      <x:c r="M229" s="7" t="str">
        <x:v>https://waves-vagues.dfo-mpo.gc.ca/library-bibliotheque/350500.pdf</x:v>
      </x:c>
      <x:c r="N229" s="7" t="str">
        <x:v>VERIFIED_DIRECT_DOCUMENT_URL</x:v>
      </x:c>
      <x:c r="O229" s="7" t="str">
        <x:v>B02_DEEP_COLD_REVIEW_ASSESSMENT</x:v>
      </x:c>
      <x:c r="P229" s="11" t="str">
        <x:v>HIGH</x:v>
      </x:c>
      <x:c r="Q229" s="7" t="str">
        <x:v>Deep-water corals and sponges are discussed in relation to the Old Harry exploration drilling area, including occurrence near the project.</x:v>
      </x:c>
      <x:c r="R229" s="7" t="str">
        <x:v>Drilling fluids and cuttings (suspended particles, deposition, burial) are the primary sediment-related pathways evaluated through dispersion modelling and literature review.</x:v>
      </x:c>
      <x:c r="S229" s="7" t="str">
        <x:v>The report provides a peer-reviewed technical review and regulatory assessment of potential effects from drill mud/cuttings on corals and sponges, with potential to inform effects, exposure, and mitigation, even though organism-specific response evidence is uncertain.</x:v>
      </x:c>
      <x:c r="T229" s="7" t="str">
        <x:v>This is a substantive government science response and assessment from Fisheries and Oceans Canada with a direct sediment-impact focus on deep-water corals and sponges from drilling muds and cuttings. It qualifies under B02 as a deep/cold coral or sponge review, government report, or regulatory assessment with clear potential to inform effects, exposure, thresholds, vulnerability, mitigation, or recovery.</x:v>
      </x:c>
      <x:c r="U229" s="7" t="str">
        <x:v>The record is a DFO Science Response peer-reviewed technical review of the Old Harry exploration drilling program. It explicitly discusses deep-water coral and sponge occurrence near the project and reviews literature on drilling-fluid and cuttings effects. Even though organism-specific response evidence is described as uncertain, the document is a substantive regulatory assessment with a direct sediment-impact focus on target taxa, meeting B02 criteria. It is not merely reference mining (CHAIN_ONLY) because it has clear potential to inform sediment effects on corals and sponges. It is not excluded because it provides relevant evidence for a deep/cold coral/sponge review, despite not providing strict organism-level response data. Confidence is HIGH because the title, metadata, and abstract clearly establish the document type, taxa, and sediment pathway.</x:v>
      </x:c>
      <x:c r="V229" s="7" t="str">
        <x:v>ALL_VERIFIED_CSAS</x:v>
      </x:c>
      <x:c r="W229" s="7" t="str">
        <x:v>TBV1-0410</x:v>
      </x:c>
    </x:row>
    <x:row r="230" ht="42" customHeight="1">
      <x:c r="A230" s="17" t="str">
        <x:v>B</x:v>
      </x:c>
      <x:c r="B230" s="7" t="str">
        <x:v>CWC-BEA6991859F6</x:v>
      </x:c>
      <x:c r="C230" s="7" t="str">
        <x:v>Seamounts in the southeastern Pacific Ocean and biodiversity on Juan Fernandez seamounts, Chile</x:v>
      </x:c>
      <x:c r="D230" s="7" t="str">
        <x:v>Eleuterio Yáñez | Cláudio Silva | Rodrigo Vega | Fernando Espíndola | Lorena Álvarez | Nelson Silva | Sergio Palma | Sergio Salinas | Eduardo Menschel | Verena Häussermann | Daniela C. Soto | Nadín Ramirez</x:v>
      </x:c>
      <x:c r="E230" s="11" t="str">
        <x:v>2009</x:v>
      </x:c>
      <x:c r="F230" s="7" t="str">
        <x:v>Latin American Journal of Aquatic Research</x:v>
      </x:c>
      <x:c r="G230" s="7" t="str">
        <x:v>article</x:v>
      </x:c>
      <x:c r="H230" s="7" t="str">
        <x:v>10.3856/vol37-issue3-fulltex-19</x:v>
      </x:c>
      <x:c r="I230" s="7" t="str">
        <x:v>https://doi.org/10.3856/vol37-issue3-fulltex-19</x:v>
      </x:c>
      <x:c r="J230" s="7" t="str">
        <x:v>Seamounts are vulnerable marine ecosystems.In Chile, information on these ecosystems is quite scarce; thus, a compilation of information on their geographical distribution and biodiversity is presented herein.A total of 118 seamounts distributed in the Chilean EEZ are identified and characterized.Additionally, an in situ assessment was carried out on the Juan Fernandez seamounts 1 and 2 (JF1 and JF2), which were also oceanographically characterized.Phytoplankton, zooplankton, and marine invertebrate samples were collected and an exploratory fishing survey was executed using different gears.According to the bibliographical review, a total of 82 species have been collected on the JF1 and JF2 seamounts, highlighting findings of black coral species caught in lobster traps at the Juan Fernandez Archipelago.Submarine images of the marine substrate at JF1 and JF2 reveal characteristics attributable to the impact of bottom dredges, coinciding with the information obtained from the trawling fleet.The fishing activity was carried out primarily at JF2 (4,667 km of trawling).The monthly fishing effort increased considerably in 2002, 2003, and 2005, reaching values above 500 km of trawling and, thus, modifying the spatial structure of the resource aggregates on the JF2 seamount.</x:v>
      </x:c>
      <x:c r="K230" s="11" t="str">
        <x:v>NO</x:v>
      </x:c>
      <x:c r="L230" s="7" t="str">
        <x:v>NOT_CONFIRMED</x:v>
      </x:c>
      <x:c r="M230" s="7" t="str"/>
      <x:c r="N230" s="7" t="str">
        <x:v>VERIFIED_DOI_DOCUMENT</x:v>
      </x:c>
      <x:c r="O230" s="7" t="str">
        <x:v>B01_DEEP_COLD_SEDIMENT_EVIDENCE</x:v>
      </x:c>
      <x:c r="P230" s="11" t="str">
        <x:v>MEDIUM</x:v>
      </x:c>
      <x:c r="Q230" s="7" t="str">
        <x:v>Black coral species (Antipatharia) collected at Juan Fernandez seamounts; deep-sea/cold-water corals recognized as vulnerable marine ecosystem components.</x:v>
      </x:c>
      <x:c r="R230" s="7" t="str">
        <x:v>Bottom dredging and trawling impacts on seamount substrate; physical disturbance with likely sediment resuspension and habitat modification.</x:v>
      </x:c>
      <x:c r="S230" s="7" t="str">
        <x:v>Submarine substrate images reveal characteristics attributable to bottom dredge impact; assessment links increased fishing effort to modifications in the spatial structure of resource aggregates.</x:v>
      </x:c>
      <x:c r="T230" s="7" t="str">
        <x:v>The source documents deep-sea/cold-water coral occurrence and provides impact evidence from dredging, an explicit sediment-related pathway in Tier B, thereby meeting B01.</x:v>
      </x:c>
      <x:c r="U230" s="7" t="str">
        <x:v>This article identifies black corals at Chilean seamounts and reports bottom-dredge/trawling impacts visible in substrate images, linking fishing effort to alteration of resource aggregates. Although sediment is not explicitly named, dredging is an explicit sediment-related pathway in Tier B, and the record provides impact evidence for cold-water corals. It therefore qualifies under B01. It is preferable to B02 because the document is a primary biodiversity/impact assessment rather than a review; it is not excluded because coral evidence and a dredging pathway are present.</x:v>
      </x:c>
      <x:c r="V230" s="7" t="str">
        <x:v>ALL_VERIFIED_CENTRAL_PEER_REVIEWED</x:v>
      </x:c>
      <x:c r="W230" s="7" t="str">
        <x:v>TBV1-0158</x:v>
      </x:c>
    </x:row>
    <x:row r="231" ht="42" customHeight="1">
      <x:c r="A231" s="17" t="str">
        <x:v>B</x:v>
      </x:c>
      <x:c r="B231" s="7" t="str">
        <x:v>CWC-798B390FBB3C</x:v>
      </x:c>
      <x:c r="C231" s="7" t="str">
        <x:v>Seasonal trophic ecology of the dominant Antarctic coral Malacobelemnon daytoni (Octocorallia, Pennatulacea, Kophobelemnidae)</x:v>
      </x:c>
      <x:c r="D231" s="7" t="str">
        <x:v>Natalia Servetto | Sérgio Rossi | V. Fuentes | Gastón Alurralde | Cristian Lagger | Ricardo Sahade</x:v>
      </x:c>
      <x:c r="E231" s="11" t="str">
        <x:v>2017</x:v>
      </x:c>
      <x:c r="F231" s="7" t="str">
        <x:v>Marine Environmental Research</x:v>
      </x:c>
      <x:c r="G231" s="7" t="str">
        <x:v>article</x:v>
      </x:c>
      <x:c r="H231" s="7" t="str">
        <x:v>10.1016/j.marenvres.2017.08.003</x:v>
      </x:c>
      <x:c r="I231" s="7" t="str">
        <x:v>https://doi.org/10.1016/j.marenvres.2017.08.003</x:v>
      </x:c>
      <x:c r="J231" s="7" t="str">
        <x:v>Antarctic ecosystems present highly marked seasonal patterns in energy input, which in turn determines the biology and ecology of marine invertebrate species. This relationship is stronger at lower levels of the food web, while upper levels may be less dependent on primary production pulses. The pennatulid Malacobelemnon daytoni, is one of the most abundant species in Potter Cove, Antarctica. In order to assess its trophic ecology and energetic strategies, its biochemical (carbohydrates, proteins and lipids), Fatty Acid (FA) and Stable Isotope (SI) (delta N-15 and delta C-13) compositions were studied over a year-round period. The FA and SI profiles suggest an omnivorous diet and opportunistic feeding strategy for the species. These results, together with biochemical analysis (higher lipid and carbohydrate concentration observed in July and October 2009), support the hypothesis that resuspension events may be an important source of energy, reducing the seasonality of food depletion periods in winter. The evidence presented here gives us a better insight into the success that this species has in Potter Cove and under the current environmental changes experienced by the Antarctic Peninsula. (C) 2017 Elsevier Ltd. All rights reserved.</x:v>
      </x:c>
      <x:c r="K231" s="11" t="str">
        <x:v>YES</x:v>
      </x:c>
      <x:c r="L231" s="7" t="str">
        <x:v>FROZEN_PUBLIC_FULL_TEXT_LOCATION</x:v>
      </x:c>
      <x:c r="M231" s="7" t="str"/>
      <x:c r="N231" s="7" t="str">
        <x:v>VERIFIED_DOI_DOCUMENT</x:v>
      </x:c>
      <x:c r="O231" s="7" t="str">
        <x:v>B01_DEEP_COLD_SEDIMENT_EVIDENCE</x:v>
      </x:c>
      <x:c r="P231" s="11" t="str">
        <x:v>HIGH</x:v>
      </x:c>
      <x:c r="Q231" s="7" t="str">
        <x:v>Antarctic pennatulid coral Malacobelemnon daytoni (Octocorallia, Pennatulacea, Kophobelemnidae), an abundant species in Potter Cove, Antarctica.</x:v>
      </x:c>
      <x:c r="R231" s="7" t="str">
        <x:v>Resuspension events as an important source of energy, representing a suspended-particle/deposition pathway that supports the coral during winter.</x:v>
      </x:c>
      <x:c r="S231" s="7" t="str">
        <x:v>Seasonal trophic ecology and energetic strategies assessed through biochemical (carbohydrates, proteins, lipids), fatty acid, and stable isotope analyses; higher lipid and carbohydrate concentrations in July and October 2009 linked to resuspension.</x:v>
      </x:c>
      <x:c r="T231" s="7" t="str">
        <x:v>B01: A cold-water (Antarctic) coral with an explicit sediment pathway (resuspension) and biological/ecological evidence (trophic ecology and energy acquisition). The response is indirect but substantively linked to sediment-derived resources.</x:v>
      </x:c>
      <x:c r="U231" s="7" t="str">
        <x:v>The organism is a cold-water Antarctic coral (Malacobelemnon daytoni). The abstract explicitly mentions resuspension events as a key energy source, providing an explicit sediment pathway (suspended particles/resuspension). The response evidence includes seasonal trophic ecology, biochemical composition, fatty acid, and stable isotope data, constituting biological/ecological evidence. This matches B01, which allows indirect evidence. The closest alternative is CHAIN_ONLY, but the resuspension pathway is not merely incidental; it is hypothesized as a major energy source with supporting data, and coral-specific ecology is a central focus. Excluding would ignore the explicit sedimentary energy pathway. Therefore TIER_B_INCLUDE with B01 is appropriate.</x:v>
      </x:c>
      <x:c r="V231" s="7" t="str">
        <x:v>ALL_VERIFIED_CENTRAL_PEER_REVIEWED</x:v>
      </x:c>
      <x:c r="W231" s="7" t="str">
        <x:v>TBV1-1387</x:v>
      </x:c>
    </x:row>
    <x:row r="232" ht="42" customHeight="1">
      <x:c r="A232" s="17" t="str">
        <x:v>B</x:v>
      </x:c>
      <x:c r="B232" s="7" t="str">
        <x:v>CWC-4E8B22E48B78</x:v>
      </x:c>
      <x:c r="C232" s="7" t="str">
        <x:v>Seasonal Variability in Near-bed Environmental Conditions in the Vazella pourtalesii Glass Sponge Grounds of the Scotian Shelf</x:v>
      </x:c>
      <x:c r="D232" s="7" t="str">
        <x:v>Ulrike Hanz | Lindsay Beazley | Ellen Kenchington | Gerard Duineveld | Hans Tore Rapp | Furu Mienis</x:v>
      </x:c>
      <x:c r="E232" s="11" t="str">
        <x:v>2021</x:v>
      </x:c>
      <x:c r="F232" s="7" t="str">
        <x:v>Frontiers in Marine Science</x:v>
      </x:c>
      <x:c r="G232" s="7" t="str">
        <x:v>article</x:v>
      </x:c>
      <x:c r="H232" s="7" t="str">
        <x:v>10.3389/fmars.2020.597682</x:v>
      </x:c>
      <x:c r="I232" s="7" t="str">
        <x:v>https://doi.org/10.3389/fmars.2020.597682</x:v>
      </x:c>
      <x:c r="J232" s="7" t="str">
        <x:v>The Scotian Shelf harbors unique aggregations of the glass sponge Vazella pourtalesii that provides an important habitat for benthic and pelagic fauna. Recent studies have shown that these sponge grounds have persisted in the face of strong interannual and multi-decadal variability in temperature and salinity. However, little is known of these environmental characteristics on hourly-seasonal time scales. This study presents the first hydrodynamic observations and associated (food) particle supply mechanisms for the Vazella sponge grounds, highlighting the influence of natural variability in environmental conditions on sponge growth and resilience. Near-bottom environmental conditions were characterized by high temporal resolution data collected with a benthic lander, deployed during a period of 10 months in the Sambro Bank Sponge Conservation Area. The lander was equipped with temperature and oxygen sensors, a current meter, a sediment trap and a video camera. In addition, water column profiles of temperature and salinity were collected in an array across the sponge grounds from high to lower sponge presence probability. Over the course of the lander deployment, temperature fluctuated between 8.8-12 degrees C with an average of 10.6 +/- 0.4 degrees C. Dissolved oxygen concentration was on average 6.3 mg I-1, and near-bottom current speed was on average 0.12 m s(-1), with peaks up to 0.47 m s(-1). Semi-diurnal tidal currents promoted constant resuspension of particulate matter in the benthic boundary layer. Surface storm events episodically caused extremely turbid conditions on the seafloor that persisted for several days, with particles being resuspended to more than 13 m above the seabed. The carbon flux in the near-bottom sediment trap peaked during storm events and also after a spring bloom in April, when fresh phytodetritus was observed in the bottom boundary layer. While resuspension events can represent a major stressor for sponges, limiting their filtration capability and remobilizing them, episodes of strong currents and lateral particle transport likely play an important role in food supply and the replenishment of nutrients and oxygen. Our results contextualize human-induced threats such as bottom fishing and climate change by providing more knowledge of the natural environmental conditions under which sponge grounds persist.</x:v>
      </x:c>
      <x:c r="K232" s="11" t="str">
        <x:v>YES</x:v>
      </x:c>
      <x:c r="L232" s="7" t="str">
        <x:v>FROZEN_PUBLIC_FULL_TEXT_LOCATION</x:v>
      </x:c>
      <x:c r="M232" s="7" t="str">
        <x:v>https://www.frontiersin.org/articles/10.3389/fmars.2020.597682/pdf</x:v>
      </x:c>
      <x:c r="N232" s="7" t="str">
        <x:v>VERIFIED_DOI_DOCUMENT</x:v>
      </x:c>
      <x:c r="O232" s="7" t="str">
        <x:v>B01_DEEP_COLD_SEDIMENT_EVIDENCE</x:v>
      </x:c>
      <x:c r="P232" s="11" t="str">
        <x:v>HIGH</x:v>
      </x:c>
      <x:c r="Q232" s="7" t="str">
        <x:v>Cold-water glass sponge Vazella pourtalesii and its sponge grounds on the Scotian Shelf.</x:v>
      </x:c>
      <x:c r="R232" s="7" t="str">
        <x:v>Near-bed sediment resuspension, turbidity, suspended particulate matter, and storm-driven turbid conditions documented with benthic lander and sediment traps.</x:v>
      </x:c>
      <x:c r="S232" s="7" t="str">
        <x:v>Environmental characterization linking natural sediment resuspension and turbidity to sponge growth, resilience, filtration capability, and potential stress; monitoring of near-bottom conditions over 10 months.</x:v>
      </x:c>
      <x:c r="T232" s="7" t="str">
        <x:v>Deep-sea/cold-water sponge study with explicit sediment/turbidity pathway and ecological evidence, meeting B01.</x:v>
      </x:c>
      <x:c r="U232" s="7" t="str">
        <x:v>This article directly addresses cold-water glass sponge grounds, measuring near-bed sediment resuspension and turbidity as environmental drivers. It discusses how resuspension events can stress sponges by limiting filtration capability and remobilizing them, while also providing food supply. The study uses benthic lander, sediment trap, and video data, offering monitoring and ecological context for sediment effects on sponges. This is a substantive, targeted evidence record for sediment-related impacts on deep-sea sponges, fitting B01. It is not merely physical oceanography because it explicitly links sediment processes to sponge biology and resilience, and it is not excluded by other criteria.</x:v>
      </x:c>
      <x:c r="V232" s="7" t="str">
        <x:v>ALL_VERIFIED_CENTRAL_PEER_REVIEWED</x:v>
      </x:c>
      <x:c r="W232" s="7" t="str">
        <x:v>TBV1-0024</x:v>
      </x:c>
    </x:row>
    <x:row r="233" ht="42" customHeight="1">
      <x:c r="A233" s="17" t="str">
        <x:v>B</x:v>
      </x:c>
      <x:c r="B233" s="7" t="str">
        <x:v>CWC-C1963903542C</x:v>
      </x:c>
      <x:c r="C233" s="7" t="str">
        <x:v>Sediment accumulation on a cold-water carbonate mound at the Southwest Rockall Trough margin</x:v>
      </x:c>
      <x:c r="D233" s="7" t="str">
        <x:v>Furu Mienis | Cees van der Land | Henko de Stigter | M. van de Vorstenbosch | H. de Haas | Thomas Richter | Tj.C.E. van Weering</x:v>
      </x:c>
      <x:c r="E233" s="11" t="str">
        <x:v>2009</x:v>
      </x:c>
      <x:c r="F233" s="7" t="str">
        <x:v>Marine Geology</x:v>
      </x:c>
      <x:c r="G233" s="7" t="str">
        <x:v>article</x:v>
      </x:c>
      <x:c r="H233" s="7" t="str">
        <x:v>10.1016/j.margeo.2009.06.014</x:v>
      </x:c>
      <x:c r="I233" s="7" t="str">
        <x:v>https://doi.org/10.1016/j.margeo.2009.06.014</x:v>
      </x:c>
      <x:c r="J233" s="7" t="str">
        <x:v>Cold-water corals build isolated and clustered carbonate mound ridges, several kilometres long and wide and up to 380 m high at the Southwest Rockall Trough margin. Photo and video observations as well as coring have shown that mainly the upper mound flanks and summits are covered with a thriving living coral cover and associated fauna. Box cores prove the presence of living coral colonies on top of a thick layer of coral which is to a large extent abraded and bio-eroded, before being buried. The coral framework is filled debris, with sediment from settling pelagic material and parts of the fauna living at the mounds, resulting in a 120 cm thick layer of sediments since 10,800 yr. Component analysis of a piston core from the top of a carbonate mound shows a complete record of cold-comprising many different species living at the mounds. An alternation of skeletal water coral mound facies, and cement dominated intervals was distinguished in the piston core. Stable isotope analysis of planktonic and benthic foraminifera indicates a continuous sedimentation pattern since the Younger Dryas. The deeper and older part of the core, showing mainly intermediate isotope values, is dominated by the presence of large hiatuses, spanning a total of up to 200,000 yr. Hiatuses in the core may reflect periods of non-deposition or which may be linked to glacial-interglacial variability. Environmental conditions probably change at erosion, glacial-interglacial timescales, influencing the local hydrodynamic regime, food supply and sedimentation rate around the carbonate mounds affecting coral growth and therefore carbonate mound development. (C) 2009 Elsevier B.V. All rights reserved.</x:v>
      </x:c>
      <x:c r="K233" s="11" t="str">
        <x:v>NO</x:v>
      </x:c>
      <x:c r="L233" s="7" t="str">
        <x:v>NOT_CONFIRMED</x:v>
      </x:c>
      <x:c r="M233" s="7" t="str"/>
      <x:c r="N233" s="7" t="str">
        <x:v>VERIFIED_DOI_DOCUMENT</x:v>
      </x:c>
      <x:c r="O233" s="7" t="str">
        <x:v>B01_DEEP_COLD_SEDIMENT_EVIDENCE</x:v>
      </x:c>
      <x:c r="P233" s="11" t="str">
        <x:v>MEDIUM</x:v>
      </x:c>
      <x:c r="Q233" s="7" t="str">
        <x:v>Cold-water corals (framework-forming) on carbonate mounds at the Southwest Rockall Trough margin, with living coral cover and associated fauna.</x:v>
      </x:c>
      <x:c r="R233" s="7" t="str">
        <x:v>Sediment accumulation and deposition on the mound, including a 120 cm thick sediment layer over 10,800 years, burial of coral framework, and inferred changes in sedimentation rate, hydrodynamic regime, and hiatuses.</x:v>
      </x:c>
      <x:c r="S233" s="7" t="str">
        <x:v>Coral framework burial and bioerosion, presence of living coral colonies on older buried framework, and inferred influence of sedimentation rate and environmental conditions on coral growth and mound development.</x:v>
      </x:c>
      <x:c r="T233" s="7" t="str">
        <x:v>B01: Deep/cold-water coral source with an explicit sediment deposition/burial pathway and indirect biological/ecological evidence linking sedimentation to coral growth and mound development, suitable for Tier B synthesis.</x:v>
      </x:c>
      <x:c r="U233" s="7" t="str">
        <x:v>This record reports on cold-water coral mounds and sediment accumulation, explicitly linking sedimentation rate and environmental variability to coral growth and mound development. Although the study is primarily geological and paleoceanographic, it provides indirect evidence for sediment-related effects on cold-water corals: living coral cover is described, coral framework is buried under 120 cm of sediment, and changes in sedimentation are inferred to affect coral growth. This meets the B01 pathway because it is a deep/cold-water coral source with an explicit sediment pathway and biological/ecological response, even if indirect. The closest alternative is EXCLUDE (X03) for lacking direct response evidence, but the abstract's clear linkage between sedimentation and coral growth makes inclusion more appropriate under the wider-berth Tier B criteria.</x:v>
      </x:c>
      <x:c r="V233" s="7" t="str">
        <x:v>ALL_VERIFIED_CENTRAL_PEER_REVIEWED</x:v>
      </x:c>
      <x:c r="W233" s="7" t="str">
        <x:v>TBV1-0044</x:v>
      </x:c>
    </x:row>
    <x:row r="234" ht="42" customHeight="1">
      <x:c r="A234" s="17" t="str">
        <x:v>B</x:v>
      </x:c>
      <x:c r="B234" s="7" t="str">
        <x:v>CWC-01E9A147C36C</x:v>
      </x:c>
      <x:c r="C234" s="7" t="str">
        <x:v>Sediment source and dose influence the larval performance of the threatened coral Orbicella faveolata</x:v>
      </x:c>
      <x:c r="D234" s="7" t="str">
        <x:v>Xaymara M. Serrano | Stephanie Rosales | Margaret W. Miller | Ana M. Palacio‐Castro | Olivia M. Williamson | Andrea Gómez | Andrew C. Baker</x:v>
      </x:c>
      <x:c r="E234" s="11" t="str">
        <x:v>2023</x:v>
      </x:c>
      <x:c r="F234" s="7" t="str">
        <x:v>bioRxiv (Cold Spring Harbor Laboratory)</x:v>
      </x:c>
      <x:c r="G234" s="7" t="str">
        <x:v>preprint</x:v>
      </x:c>
      <x:c r="H234" s="7" t="str">
        <x:v>10.1101/2023.09.22.559035</x:v>
      </x:c>
      <x:c r="I234" s="7" t="str">
        <x:v>https://doi.org/10.1101/2023.09.22.559035</x:v>
      </x:c>
      <x:c r="J234" s="7" t="str">
        <x:v>Abstract The effects of turbidity and sedimentation stress on early life stages of corals are poorly understood, particularly in Atlantic species. Dredging operations, beach nourishment, and other coastal construction activities can increase sedimentation and turbidity in nearby coral reef habitats and have the potential to negatively affect coral larval development and metamorphosis, reducing sexual reproduction success. In this study, we investigated the performance of larvae of the threatened Caribbean coral species Orbicella faveolata exposed to sediments collected from a reef site in southeast Florida recently impacted by dredging (Port Miami), and compared it to the performance of larvae exposed to sediments collected from the offshore, natal reef of the parent colonies. In a laboratory experiment, we tested whether low and high doses of each of these sediment types affected the survival, settlement, and respiration of coral larvae compared to a no-sediment control treatment. In addition, we analyzed the sediments used in the experiments with 16S rRNA gene amplicon sequencing to assess differences in the microbial communities present in the Port versus Reef sediments, and their potential impact on coral performance. Overall, O. faveolata larvae exposed to high doses of either sediment type (Port or Reef) exhibited reduced survival and settlement rates, but only the Port sediments resulted in adverse effects in the low-dose treatment. Sediments collected near the Port also contained different microbiomes than Reef sediments, and higher relative abundances of the bacteria Desulfobacterales, which has been associated with coral disease. We hypothesize that differences in microbiomes between the two sediments may be a contributing factor in explaining the observed differences in larval performance. Together, these results suggest that the settlement success and survival of O. faveolata larvae are more readily compromised by encountering port inlet sediments compared to reef sediments, with potentially important consequences for the recruitment success of this species in affected areas.</x:v>
      </x:c>
      <x:c r="K234" s="11" t="str">
        <x:v>YES</x:v>
      </x:c>
      <x:c r="L234" s="7" t="str">
        <x:v>FROZEN_PUBLIC_FULL_TEXT_LOCATION</x:v>
      </x:c>
      <x:c r="M234" s="7" t="str">
        <x:v>https://www.biorxiv.org/content/biorxiv/early/2023/09/26/2023.09.22.559035.1.full.pdf</x:v>
      </x:c>
      <x:c r="N234" s="7" t="str">
        <x:v>VERIFIED_DOI_DOCUMENT</x:v>
      </x:c>
      <x:c r="O234" s="7" t="str">
        <x:v>B04_TROPICAL_PHYSICAL_SEDIMENT_ANALOGUE</x:v>
      </x:c>
      <x:c r="P234" s="11" t="str">
        <x:v>HIGH</x:v>
      </x:c>
      <x:c r="Q234" s="7" t="str">
        <x:v>Tropical Caribbean coral Orbicella faveolata (larvae).</x:v>
      </x:c>
      <x:c r="R234" s="7" t="str">
        <x:v>Sediment exposure from port (dredged) and reef sediments at low and high doses, representing sedimentation and turbidity stress.</x:v>
      </x:c>
      <x:c r="S234" s="7" t="str">
        <x:v>Measured larval survival, settlement, and respiration; reduced survival and settlement at high doses, adverse effects at low dose for port sediments.</x:v>
      </x:c>
      <x:c r="T234" s="7" t="str">
        <x:v>Direct experimental test of physical sediment exposure on a tropical coral with clearly relevant biological responses (survival, settlement, respiration). This is broader than Tier A but fits B04.</x:v>
      </x:c>
      <x:c r="U234" s="7" t="str">
        <x:v>The study experimentally exposes larvae of the tropical coral Orbicella faveolata to sediments from dredging-impacted and reef sites, measuring survival, settlement, and respiration. This directly addresses physical sediment exposure and reports relevant biological responses, satisfying B04_TROPICAL_PHYSICAL_SEDIMENT_ANALOGUE. The record is a substantive preprint with identifiable content. Exclusions do not apply because there is a clear sediment pathway and coral-specific response evidence. The closest alternative would be B01, but the coral is tropical, not deep/cold, so B04 is appropriate.</x:v>
      </x:c>
      <x:c r="V234" s="7" t="str">
        <x:v>SPARING_TOP_25_TROPICAL_DIRECT_PHYSICAL_ANALOGUES</x:v>
      </x:c>
      <x:c r="W234" s="7" t="str">
        <x:v>TBV1-1204</x:v>
      </x:c>
    </x:row>
    <x:row r="235" ht="42" customHeight="1">
      <x:c r="A235" s="17" t="str">
        <x:v>B</x:v>
      </x:c>
      <x:c r="B235" s="7" t="str">
        <x:v>GLV4-493BCAF014F3</x:v>
      </x:c>
      <x:c r="C235" s="7" t="str">
        <x:v>sedimentation damage to reef corals</x:v>
      </x:c>
      <x:c r="D235" s="7" t="str"/>
      <x:c r="E235" s="11" t="str"/>
      <x:c r="F235" s="7" t="str">
        <x:v>espis.boem.gov</x:v>
      </x:c>
      <x:c r="G235" s="7" t="str">
        <x:v>report</x:v>
      </x:c>
      <x:c r="H235" s="7" t="str"/>
      <x:c r="I235" s="7" t="str">
        <x:v>https://espis.boem.gov/Final%20Reports/2732.pdf</x:v>
      </x:c>
      <x:c r="J235" s="7" t="str">
        <x:v>ACKNOWLEDGEMENTS I am indebted to the many people who assisted in this study. Work was supported primarily by NSF grant INT-8421225 and by the East-West Center. LITERATURE CITED Edmondson, C.H. 1928. The ecology of an Hawaiian coral reef. B.P. Bishop Museum Bull. 45, Guy, H.P. and V.W. Norman. 1970. Field methods for measurement of fluvial sediment. U. S. Geol. Survey Techniques Water-Resources Investig., book 3, chap. c2. Hamilton, L. and P. N. King. 1983. Tropical forested watersheds. Westview, Boulder, Colorado. Hodgson, G. 1989. The effects of sedimentation on Indo-Pacific Reef Corals. Dis</x:v>
      </x:c>
      <x:c r="K235" s="11" t="str">
        <x:v>YES</x:v>
      </x:c>
      <x:c r="L235" s="7" t="str">
        <x:v>PUBLIC_FULL_DOCUMENT_LOCATION</x:v>
      </x:c>
      <x:c r="M235" s="7" t="str">
        <x:v>https://espis.boem.gov/Final%20Reports/2732.pdf</x:v>
      </x:c>
      <x:c r="N235" s="7" t="str">
        <x:v>VERIFIED_DIRECT_DOCUMENT_URL</x:v>
      </x:c>
      <x:c r="O235" s="7" t="str">
        <x:v>B04_TROPICAL_PHYSICAL_SEDIMENT_ANALOGUE</x:v>
      </x:c>
      <x:c r="P235" s="11" t="str">
        <x:v>HIGH</x:v>
      </x:c>
      <x:c r="Q235" s="7" t="str">
        <x:v>Reef corals, likely tropical (supported by reference to Indo-Pacific reef corals in the cited literature).</x:v>
      </x:c>
      <x:c r="R235" s="7" t="str">
        <x:v>Sedimentation, explicitly stated in title as causing damage to reef corals.</x:v>
      </x:c>
      <x:c r="S235" s="7" t="str">
        <x:v>Damage to reef corals, indicating a biological/ecological impact.</x:v>
      </x:c>
      <x:c r="T235" s="7" t="str">
        <x:v>Title directly addresses sedimentation damage to reef corals, and the cited literature includes a known study on sedimentation effects on Indo-Pacific reef corals. This qualifies as a tropical physical sediment analogue study/report meeting B04.</x:v>
      </x:c>
      <x:c r="U235" s="7" t="str">
        <x:v>The title unequivocally indicates a study or report on sedimentation damage to reef corals. The included reference to Hodgson (1989) on the effects of sedimentation on Indo-Pacific reef corals confirms the target organism and stressor. As a BOEM report, it is a substantive document. This meets B04 (tropical physical sediment analogue) because the focus is on physical sediment exposure and biological response in reef corals. The absence of a full abstract is not limiting given the explicit title and supporting citation. The closest alternative would be exclusion for missing information, but the available evidence is sufficient for inclusion.</x:v>
      </x:c>
      <x:c r="V235" s="7" t="str">
        <x:v>SPARING_TOP_25_TROPICAL_DIRECT_PHYSICAL_ANALOGUES</x:v>
      </x:c>
      <x:c r="W235" s="7" t="str">
        <x:v>TBV1-0416</x:v>
      </x:c>
    </x:row>
    <x:row r="236" ht="42" customHeight="1">
      <x:c r="A236" s="17" t="str">
        <x:v>B</x:v>
      </x:c>
      <x:c r="B236" s="7" t="str">
        <x:v>CWC-3FE883F1D2AB</x:v>
      </x:c>
      <x:c r="C236" s="7" t="str">
        <x:v>Sensitivity of Corals to Turbidity and Sedimentation from Dredging: A Review</x:v>
      </x:c>
      <x:c r="D236" s="7" t="str">
        <x:v>P.L.A. Erftemeijer | Bernhard Riegl</x:v>
      </x:c>
      <x:c r="E236" s="11" t="str">
        <x:v>2008</x:v>
      </x:c>
      <x:c r="F236" s="7" t="str">
        <x:v>NSUWorks (Nova Southeastern University)</x:v>
      </x:c>
      <x:c r="G236" s="7" t="str">
        <x:v>conference-paper</x:v>
      </x:c>
      <x:c r="H236" s="7" t="str"/>
      <x:c r="I236" s="7" t="str">
        <x:v>https://nsuworks.nova.edu/occ_facpresentations/99</x:v>
      </x:c>
      <x:c r="J236" s="7" t="str">
        <x:v>A review of published literature on sensitivity of corals to turbidity and sedimentation is presented with an emphasis on effects of dredging. Risks and severity of impact from dredging on corals are related to both intensity and duration of exposure to increased turbidity and sedimentation. Sensitivity of a coral reef from dredging impacts and its ability to recover depends on the ecological condition of the reef, its resilience and typical ambient conditions normally experienced. Corals experience stress from high suspended sediment concentrations (polyp) and their effects on light attenuation (algal symbiont). Minimum light requirements of corals range from 300 mg cm-2 day-1. The duration that corals can survive high sedimentation rates range from 14 days (complete burial) for very tolerant species. Hypotheses to explain substantial differences in sensitivity between different coral species include the growth form and orientation of coral colonies, the ability to actively reject sediment (polyp inflation, mucus production, ciliary and tentacular action) and the size of the coral polyp/calice. Validity of these hypotheses was tested on the basis of 53 published studies on effects of turbidity and sedimentation on 85 coral species, the results of which will be presented.</x:v>
      </x:c>
      <x:c r="K236" s="11" t="str">
        <x:v>YES</x:v>
      </x:c>
      <x:c r="L236" s="7" t="str">
        <x:v>FROZEN_PUBLIC_FULL_TEXT_LOCATION</x:v>
      </x:c>
      <x:c r="M236" s="7" t="str">
        <x:v>https://nsuworks.nova.edu/occ_facpresentations/99</x:v>
      </x:c>
      <x:c r="N236" s="7" t="str">
        <x:v>VERIFIED_BIBLIOGRAPHIC_DOCUMENT</x:v>
      </x:c>
      <x:c r="O236" s="7" t="str">
        <x:v>B05_BROAD_SYNTHESIS_WITH_TARGET_EVIDENCE</x:v>
      </x:c>
      <x:c r="P236" s="11" t="str">
        <x:v>HIGH</x:v>
      </x:c>
      <x:c r="Q236" s="7" t="str">
        <x:v>Corals (reef-building corals, likely tropical reef corals)</x:v>
      </x:c>
      <x:c r="R236" s="7" t="str">
        <x:v>Turbidity and sedimentation from dredging; suspended sediment concentrations; sedimentation rates; burial</x:v>
      </x:c>
      <x:c r="S236" s="7" t="str">
        <x:v>Stress, smothering, shading, tissue necrosis, bacterial explosions in mucus, reduced recruitment/survival/settlement, tolerance limits, recovery potential</x:v>
      </x:c>
      <x:c r="T236" s="7" t="str">
        <x:v>This is a review synthesizing published evidence on coral sensitivity to turbidity and sedimentation from dredging. It provides quantitative thresholds (suspended sediment concentrations, allowable sedimentation rates, burial survival durations) and describes multiple biological responses. It qualifies under B05 as a synthesis with clear coral target evidence relevant to the review.</x:v>
      </x:c>
      <x:c r="U236" s="7" t="str">
        <x:v>The record is a substantive conference paper reviewing effects of dredging-related turbidity and sedimentation on corals. It explicitly reports biological responses (stress, smothering, necrosis, larval effects) and tolerance thresholds, which is directly relevant. Although it likely focuses on tropical corals, the review itself is a synthesis of coral sediment evidence, fitting B05. It is not a deep/cold review (B02) or an experimental study (B04). The organism and stressor are clearly coral and sediment, so it is not excluded.</x:v>
      </x:c>
      <x:c r="V236" s="7" t="str">
        <x:v>ALL_VERIFIED_NON_TROPICAL_TIER_B_INCLUSIONS</x:v>
      </x:c>
      <x:c r="W236" s="7" t="str">
        <x:v>TBV1-1334</x:v>
      </x:c>
    </x:row>
    <x:row r="237" ht="42" customHeight="1">
      <x:c r="A237" s="17" t="str">
        <x:v>B</x:v>
      </x:c>
      <x:c r="B237" s="7" t="str">
        <x:v>CWC-17BB509A22EF</x:v>
      </x:c>
      <x:c r="C237" s="7" t="str">
        <x:v>SERPENT of the Deep—Research, Monitoring and Partnerships for a Deepwater Well off Atlantic Canada</x:v>
      </x:c>
      <x:c r="D237" s="7" t="str">
        <x:v>Andre d'Entremont | J. I. Kaariainen | Krista D. Baker</x:v>
      </x:c>
      <x:c r="E237" s="11" t="str">
        <x:v>2008</x:v>
      </x:c>
      <x:c r="F237" s="7" t="str">
        <x:v>SPE International Conference on Health, Safety and Environment in Oil and Gas Exploration and Production</x:v>
      </x:c>
      <x:c r="G237" s="7" t="str">
        <x:v>conference-paper</x:v>
      </x:c>
      <x:c r="H237" s="7" t="str">
        <x:v>10.2118/111789-ms</x:v>
      </x:c>
      <x:c r="I237" s="7" t="str">
        <x:v>https://doi.org/10.2118/111789-ms</x:v>
      </x:c>
      <x:c r="J237" s="7" t="str">
        <x:v>Abstract The Great Barasway F-66 well – operated by Chevron Canada Limited (CCL) on behalf of itself and co-venturers ExxonMobil Canada Ltd., Imperial Oil Resource Ventures Ltd. and Shell Canada Limited – was the first Canadian participation in the international SERPENT Project. It was drilled in the Orphan Basin, a remote deepwater area located 390 km offshore of St. John's, Newfoundland and Labrador, Canada. SERPENT utilizes Remotely Operated Vehicles (ROVs), which support deepwater drilling operations, to collect scientific data which would be prohibitively expensive or impractical for universities or research institutions to collect. The project was a cooperative effort between CCL, ExxonMobil Canada Ltd., Imperial Oil Resource Ventures Ltd., Shell Canada Limited, and Memorial University of Newfoundland (MUN), the University of Southampton, the Canadian Department of Fisheries and Oceans and the Canada-Newfoundland and Labrador Offshore Petroleum Board. This has been an open and transparent relationship whereby all parties were involved in the study design, and data collected was freely shared. Initial results have included 1,000 world class digital photographs and over 25 hours of video of the organisms that live in water depths of 2,338 m. Initial results have been scientifically exciting; expanding the range of two species of fish, there is also the prospect that a new species of deepwater organism could be discovered once the data are fully analyzed. The extent of the settlement of cuttings and drilling muds was also mapped and compared to predictions made in the environmental assessment. Experiments were also conducted to evaluate the potential settlement of deepwater corals and other organisms on different types of hard substrate.</x:v>
      </x:c>
      <x:c r="K237" s="11" t="str">
        <x:v>NO</x:v>
      </x:c>
      <x:c r="L237" s="7" t="str">
        <x:v>NOT_CONFIRMED</x:v>
      </x:c>
      <x:c r="M237" s="7" t="str"/>
      <x:c r="N237" s="7" t="str">
        <x:v>VERIFIED_DOI_DOCUMENT</x:v>
      </x:c>
      <x:c r="O237" s="7" t="str">
        <x:v>B01_DEEP_COLD_SEDIMENT_EVIDENCE</x:v>
      </x:c>
      <x:c r="P237" s="11" t="str">
        <x:v>HIGH</x:v>
      </x:c>
      <x:c r="Q237" s="7" t="str">
        <x:v>Deepwater organisms at 2338 m, including deepwater corals; also fish and possibly a new species.</x:v>
      </x:c>
      <x:c r="R237" s="7" t="str">
        <x:v>Settlement of cuttings and drilling muds from a deepwater well; extent mapped and compared to environmental assessment predictions.</x:v>
      </x:c>
      <x:c r="S237" s="7" t="str">
        <x:v>Monitoring of cuttings/mud settlement; experiments to evaluate potential settlement of deepwater corals and other organisms on different hard substrates.</x:v>
      </x:c>
      <x:c r="T237" s="7" t="str">
        <x:v>Direct deep-sea coral evidence related to drilling-derived sediment (cuttings/muds) with monitoring and experimental assessment of settlement.</x:v>
      </x:c>
      <x:c r="U237" s="7" t="str">
        <x:v>This conference paper describes deepwater monitoring and experiments in the Orphan Basin. It explicitly mentions deepwater corals and other organisms at 2338 m depth, and evaluates the settlement of cuttings and drilling muds, comparing to environmental assessment predictions. It also describes experiments on potential settlement of deepwater corals on hard substrates. This provides deep-sea coral evidence with a sediment/drilling-mud pathway and biological/assessment response, meeting B01. The closest alternative would be B02, but it is not a review or assessment per se; it is a primary monitoring/experimental report, so B01 is more precise.</x:v>
      </x:c>
      <x:c r="V237" s="7" t="str">
        <x:v>ALL_VERIFIED_NON_TROPICAL_TIER_B_INCLUSIONS</x:v>
      </x:c>
      <x:c r="W237" s="7" t="str">
        <x:v>TBV1-0109</x:v>
      </x:c>
    </x:row>
    <x:row r="238" ht="42" customHeight="1">
      <x:c r="A238" s="17" t="str">
        <x:v>B</x:v>
      </x:c>
      <x:c r="B238" s="7" t="str">
        <x:v>CWC-5F21ED07EDF5</x:v>
      </x:c>
      <x:c r="C238" s="7" t="str">
        <x:v>Short-term environmental variability in cold-water coral habitat at Viosca Knoll, Gulf of Mexico</x:v>
      </x:c>
      <x:c r="D238" s="7" t="str">
        <x:v>Davies, AJ | Duineveld, GCA | van Weering, TCE | Mienis, F | Quattrini, AM | Seim, HE | Bane, JM | Ross, SW</x:v>
      </x:c>
      <x:c r="E238" s="11" t="str">
        <x:v>2010</x:v>
      </x:c>
      <x:c r="F238" s="7" t="str">
        <x:v>DEEP-SEA RESEARCH PART I-OCEANOGRAPHIC RESEARCH PAPERS</x:v>
      </x:c>
      <x:c r="G238" s="7" t="str">
        <x:v>JOUR</x:v>
      </x:c>
      <x:c r="H238" s="7" t="str">
        <x:v>10.1016/j.dsr.2009.10.012</x:v>
      </x:c>
      <x:c r="I238" s="7" t="str">
        <x:v>https://doi.org/10.1016/j.dsr.2009.10.012</x:v>
      </x:c>
      <x:c r="J238" s="7" t="str">
        <x:v>The Lophelia pertusa community at Viosca Knoll (VK826) is the most extensive found to date in the Gulf of Mexico. As part of a multi-disciplinary study, the physical setting of this area was described using benthic landers, CTD transects and remotely operated vehicle observations. The site was broadly characterised into three main habitats: (1) dense coral cover that resembles biogenic reef complexes, (2) areas of sediment, and (3) authigenic carbonate blocks with sparse coral and chemosynthetic communities. The coral communities were dominated by L. pertusa but also contained numerous solitary coral species. Over areas that contained L. pertusa, the environmental conditions recorded were similar to those associated with communities in the north-eastern Atlantic, with temperature (8.5-10.6 degrees C) and salinity (similar to 35) failing within the known species niche for L. pertusa. However, dissolved oxygen concentrations (2.7-2.8 ml l(-1))and density (sigma(Theta), 27.1-27.2 kg m(-3)) were lower and Mass fluxes from sediment trap data appeared much higher (4002-4192 mg m(-2) d(-1)). Yet, this species still appears to thrive in this region, suggesting that L. pertusa may not be as limited by lower dissolved oxygen concentrations as previously thought. The VK826 site experienced sustained eastward water flow of 10-30 cm s(-1) over the 5-day measurement period but was also subjected to significant short-term variability in current velocity and direction. In addition, two processes were observed that caused variability in salinity and temperature; the first was consistent with internal waves that caused temperature variations of 0.8 degrees C over 5-11 h periods. The second was high-frequency variability (20-30 min periods) in temperature recorded only at the ALBEX site. A further pattern observed over the coral habitat was the presence of a 24 h diel vertical migration of zooplankton that may form part of a food chain that eventually reaches the corals. The majority of detailed studies concerning local environmental conditions in L. pertusa habitats have been conducted within the north-eastern Atlantic, limiting most knowledge of the niche of this species to a single part of an ocean basin. Data presented here show that the corals at VK826 are subjected to similar conditions in temperature, salinity, and flow velocity as their counterparts in the north-east Atlantic, although values for dissolved oxygen and density (sigma-theta: sigma(Theta)) are different. Our data also highlight novel observations of short-term environmental variability in cold-water coral habitat. (C) 2009 Elsevier Ltd. All rights reserved.</x:v>
      </x:c>
      <x:c r="K238" s="11" t="str">
        <x:v>NO</x:v>
      </x:c>
      <x:c r="L238" s="7" t="str">
        <x:v>NOT_CONFIRMED</x:v>
      </x:c>
      <x:c r="M238" s="7" t="str"/>
      <x:c r="N238" s="7" t="str">
        <x:v>VERIFIED_DOI_DOCUMENT</x:v>
      </x:c>
      <x:c r="O238" s="7" t="str">
        <x:v>B01_DEEP_COLD_SEDIMENT_EVIDENCE</x:v>
      </x:c>
      <x:c r="P238" s="11" t="str">
        <x:v>MEDIUM</x:v>
      </x:c>
      <x:c r="Q238" s="7" t="str">
        <x:v>Cold-water coral Lophelia pertusa and associated solitary coral species at Viosca Knoll (VK826), Gulf of Mexico.</x:v>
      </x:c>
      <x:c r="R238" s="7" t="str">
        <x:v>Sediment trap mass fluxes (4002–4192 mg m⁻² d⁻¹) as a measure of sedimentation/particle flux, along with currents, temperature, salinity, and dissolved oxygen conditions.</x:v>
      </x:c>
      <x:c r="S238" s="7" t="str">
        <x:v>Coral communities appear to thrive despite high mass fluxes and lower dissolved oxygen; habitat characterized by dense coral cover versus sediment areas, providing ecological condition and environmental context.</x:v>
      </x:c>
      <x:c r="T238" s="7" t="str">
        <x:v>Deep-sea cold-water coral habitat with explicit sediment flux measurements and ecological condition observations; qualifies as B01 deep/cold sediment evidence.</x:v>
      </x:c>
      <x:c r="U238" s="7" t="str">
        <x:v>The abstract directly characterizes a cold-water coral habitat using sediment trap mass flux data as an environmental variable. It reports that Lophelia pertusa continues to thrive under these conditions, providing ecological condition evidence tied to a sediment/deposition pathway. This fits B01 because it supplies deep/cold coral sediment exposure context and biological/ecological evidence, even though it is not a controlled exposure experiment. The closest alternative would be exclusion as a purely physical oceanography study, but the explicit coral condition statement and sediment flux measurements make inclusion appropriate.</x:v>
      </x:c>
      <x:c r="V238" s="7" t="str">
        <x:v>ALL_VERIFIED_NON_TROPICAL_TIER_B_INCLUSIONS</x:v>
      </x:c>
      <x:c r="W238" s="7" t="str">
        <x:v>TBV1-0110</x:v>
      </x:c>
    </x:row>
    <x:row r="239" ht="42" customHeight="1">
      <x:c r="A239" s="17" t="str">
        <x:v>B</x:v>
      </x:c>
      <x:c r="B239" s="7" t="str">
        <x:v>CWC-19F713252CB7</x:v>
      </x:c>
      <x:c r="C239" s="7" t="str">
        <x:v>Simulation Of Concentrations and Depositions of Particle Matter Caused by Drilling Discharges. Comparison Between Field Measurements and Simulation Results at Coral Locations</x:v>
      </x:c>
      <x:c r="D239" s="7" t="str">
        <x:v>Henrik Rye | May Kristin Ditlevsen | Jannecke A. Moe | Morten Løkken</x:v>
      </x:c>
      <x:c r="E239" s="11" t="str">
        <x:v>2012</x:v>
      </x:c>
      <x:c r="F239" s="7" t="str"/>
      <x:c r="G239" s="7" t="str">
        <x:v>conference-paper</x:v>
      </x:c>
      <x:c r="H239" s="7" t="str">
        <x:v>10.2118/156775-ms</x:v>
      </x:c>
      <x:c r="I239" s="7" t="str">
        <x:v>https://doi.org/10.2118/156775-ms</x:v>
      </x:c>
      <x:c r="J239" s="7" t="str">
        <x:v>Abstract Deepwater corals (Lophelia) was identified in the vicinity of the location of the exploration well Pumbaa on the Norwegian Continental Shelf where a drilling operation was carried out by the GDF SUEZ E&amp;P Norge AS (GDF SUEZ). When drilling in sensitive areas, it is a requirement from the Norwegian authorities that the operator shall monitor the drilling operation. Possible impacts on the corals were simulated prior to the drilling operation. In addition, monitoring of the discharges during drilling was carried out in order to document effects on the corals. The paper considers a comparison between measured and simulated discharges of drill cuttings and mud to the sea on the Pumbaa field in the Norwegian Sea. The actual monitoring program is presented in a separate paper on this conference (Moskeland et al. 2012). The main objective of the monitoring was to assess effects from the drilling activities on the corals south (and nearest) of the drilling location. The monitoring program included measurements of current, turbidity and sedimentation, as well as sampling of sediments from the seafloor. The data collected in the monitoring program turned out to be useful as well to validate numerical models for simulations of the discharges. In the present case, corals are located close to the drilling site, and the simulation tool could then be validated for prediction of potential exposure of the corals. The actual comparison between model simulations and measurements is carried out by comparing the actual depositions of barite on the sea floor. In addition, turbidity recordings close to the sea floor are compared with simulated concentrations of particle matter at the locations of the turbidity recordings. Good correspondence is obtained between model results and measurements on the occurrence of events of particle matter present in the water column at selected locations. A good similarity is found between measured/simulated depositions of barite at the sea floor, and measured/simulated concentrations of particle matter in the water column. Use of the model validated will strengthen the operator's ability to predict exposure (and consequently potential damage) on corals (and other biological resources) prior to the drilling operation. The operator may then obtain an "early warning" on exposure (potential damage). Measures can then be initiated to eliminate or reduce environmental impact.</x:v>
      </x:c>
      <x:c r="K239" s="11" t="str">
        <x:v>NO</x:v>
      </x:c>
      <x:c r="L239" s="7" t="str">
        <x:v>NOT_CONFIRMED</x:v>
      </x:c>
      <x:c r="M239" s="7" t="str"/>
      <x:c r="N239" s="7" t="str">
        <x:v>VERIFIED_DOI_DOCUMENT</x:v>
      </x:c>
      <x:c r="O239" s="7" t="str">
        <x:v>B01_DEEP_COLD_SEDIMENT_EVIDENCE</x:v>
      </x:c>
      <x:c r="P239" s="11" t="str">
        <x:v>HIGH</x:v>
      </x:c>
      <x:c r="Q239" s="7" t="str">
        <x:v>Deepwater corals (Lophelia) located near a drilling site on the Norwegian Continental Shelf.</x:v>
      </x:c>
      <x:c r="R239" s="7" t="str">
        <x:v>Drilling discharges including drill cuttings and mud, barite deposition on the seafloor, turbidity and suspended particle matter in the water column.</x:v>
      </x:c>
      <x:c r="S239" s="7" t="str">
        <x:v>Comparison of measured and simulated concentrations and depositions; monitoring of turbidity and sedimentation; prediction of exposure and potential damage to corals; validation of numerical models for environmental impact assessment.</x:v>
      </x:c>
      <x:c r="T239" s="7" t="str">
        <x:v>This conference paper is a deep-sea cold-water coral (Lophelia) source with explicit sediment/drilling pathway and monitoring/impact assessment evidence. It compares field measurements with simulations of particle matter and barite deposition at coral locations, providing indirect but relevant evidence on potential exposure and impact.</x:v>
      </x:c>
      <x:c r="U239" s="7" t="str">
        <x:v>This record documents a modeling and field monitoring study of drilling discharges at a deepwater coral (Lophelia) site. The explicit sediment pathway (drill cuttings, mud, barite, turbidity) and the focus on assessing potential coral impact fit B01. It is preferable to B02 because it directly presents site-specific evidence rather than being a review or regulatory report. It is not excluded because it contains monitoring and impact evidence for corals, unlike pure physical plume modeling studies. The document is substantive with DOI.</x:v>
      </x:c>
      <x:c r="V239" s="7" t="str">
        <x:v>ALL_VERIFIED_NON_TROPICAL_TIER_B_INCLUSIONS</x:v>
      </x:c>
      <x:c r="W239" s="7" t="str">
        <x:v>TBV1-0046</x:v>
      </x:c>
    </x:row>
    <x:row r="240" ht="42" customHeight="1">
      <x:c r="A240" s="17" t="str">
        <x:v>B</x:v>
      </x:c>
      <x:c r="B240" s="7" t="str">
        <x:v>CWC-6F573FDCA39E</x:v>
      </x:c>
      <x:c r="C240" s="7" t="str">
        <x:v>Spatial differences in the growth rates of Pocillopora damicornis associated with sedimentation rate and light intensity at Polhena patchy reef, southern Sri Lanka</x:v>
      </x:c>
      <x:c r="D240" s="7" t="str">
        <x:v>WAA Upasantha Kumara | PBT Pradeep Kumara | P.R.T. Cumaranatunga</x:v>
      </x:c>
      <x:c r="E240" s="11" t="str">
        <x:v>2015</x:v>
      </x:c>
      <x:c r="F240" s="7" t="str">
        <x:v>Sri Lanka Journal of Aquatic Sciences</x:v>
      </x:c>
      <x:c r="G240" s="7" t="str">
        <x:v>article</x:v>
      </x:c>
      <x:c r="H240" s="7" t="str">
        <x:v>10.4038/sljas.v20i1.7455</x:v>
      </x:c>
      <x:c r="I240" s="7" t="str">
        <x:v>https://doi.org/10.4038/sljas.v20i1.7455</x:v>
      </x:c>
      <x:c r="J240" s="7" t="str">
        <x:v>Near shore patchy reef located at the leeward side of the fringing reef at Polhena was surveyed to evaluate spatial patterns of growth rates of Pocillopora damicornis . This study was carried out at three locations of the reef; front, side and back from June to November in 2004. Three sites were selected from each location considering the depth (surface, middle, and bottom). Forty five colonies of P. damicornis which were approximately of the same size were studied. Temperature, dissolved oxygen, BOD5, salinity, pH, soluble reactive phosphorous, turbidity and light intensity of each site were measured fortnightly and their mean values were 28.06 ± 0.24 °C, 8.78 ± 0.15 mg L -1 , 1.40 ± 0.32 mg L -1 , 31.91 ± 3.49 mg L -1 , 8.12 ± 0.04, 8.12 ± 0.01, 20.21 ± 2.05 μg L -1 , 5.78 ± 1.20 NTU, and 49.17 ± 1.97 Lux respectively. Sediments in each site were collected using traps and mean overall sedimentation rate for the experimental period was 45860.6 ± 3364.2 ml m -2 day -1 (2620.6 ± 192.2 g m -2 day -1 ) (n = 36). Growth of coral colonies, which was measured as linear skeletal extension rate (LSER), was 0.15 ± 0.01 mm day -1 . Significant differences in mean light intensity, mean sediment volume, and LSER of coral colonies were observed among different sites. The highest sedimentation rate 94818.2 ± 6981.5 ml m -2 day -1 (5418.2 ± 398.9 g m -2 day -1 ) and the lowest LSER of the colonies (0.05 ± 0.01 mm day -1 ) were observed at back bottom site. The highest LSER was observed at front surface (0.23 ± 0.01 mm day -1 ). LSER showed a significant negative correlation (R 2 = 0.59) with increased sedimentation rate and low light intensity. Back bottom site of the patchy reef was having comparatively unfavorable conditions for the growth of corals that were subjected to more environmental stress than the corals in other sites of the reefs. Sri Lanka J. Aquat. Sci. 20 (1) (2015): 47-58</x:v>
      </x:c>
      <x:c r="K240" s="11" t="str">
        <x:v>YES</x:v>
      </x:c>
      <x:c r="L240" s="7" t="str">
        <x:v>FROZEN_PUBLIC_FULL_TEXT_LOCATION</x:v>
      </x:c>
      <x:c r="M240" s="7" t="str">
        <x:v>https://storage.googleapis.com/jnl-sljo-j-sljas-files/journals/1/articles/7455/submission/proof/7455-1-26405-1-10-20150325.pdf</x:v>
      </x:c>
      <x:c r="N240" s="7" t="str">
        <x:v>VERIFIED_DOI_DOCUMENT</x:v>
      </x:c>
      <x:c r="O240" s="7" t="str">
        <x:v>B04_TROPICAL_PHYSICAL_SEDIMENT_ANALOGUE</x:v>
      </x:c>
      <x:c r="P240" s="11" t="str">
        <x:v>HIGH</x:v>
      </x:c>
      <x:c r="Q240" s="7" t="str">
        <x:v>Tropical reef-building coral Pocillopora damicornis; colonies monitored at multiple reef locations.</x:v>
      </x:c>
      <x:c r="R240" s="7" t="str">
        <x:v>Sedimentation rate measured with sediment traps; also turbidity and light intensity quantified; highest sedimentation at back bottom site.</x:v>
      </x:c>
      <x:c r="S240" s="7" t="str">
        <x:v>Linear skeletal extension rate (LSER) as growth response; significantly lower LSER at high-sedimentation site and significant negative correlation with sedimentation and low light.</x:v>
      </x:c>
      <x:c r="T240" s="7" t="str">
        <x:v>Direct field study measuring physical sediment exposure and reporting a biological response (growth) for a tropical coral, fitting B04.</x:v>
      </x:c>
      <x:c r="U240" s="7" t="str">
        <x:v>This record is a peer-reviewed article presenting a direct field assessment of sedimentation effects on the tropical coral Pocillopora damicornis. Sedimentation was quantitatively measured with sediment traps, and coral growth (LSER) was monitored across sites with varying sedimentation and light. The study reports a significant negative correlation between increased sedimentation and growth, with the highest sedimentation site showing the lowest LSER. This meets the B04 tropical physical sediment analogue criterion because it directly tests sediment exposure and reports a clearly relevant biological response. It is not merely a mention of sediment or turbidity. Preferred over CHAIN_ONLY because substantive coral sediment-effects evidence is present; preferred over B01/B02 because the study is tropical and empirical rather than a deep/cold review.</x:v>
      </x:c>
      <x:c r="V240" s="7" t="str">
        <x:v>SPARING_TOP_25_TROPICAL_DIRECT_PHYSICAL_ANALOGUES</x:v>
      </x:c>
      <x:c r="W240" s="7" t="str">
        <x:v>TBV1-1208</x:v>
      </x:c>
    </x:row>
    <x:row r="241" ht="42" customHeight="1">
      <x:c r="A241" s="17" t="str">
        <x:v>B</x:v>
      </x:c>
      <x:c r="B241" s="7" t="str">
        <x:v>CWC-439450CFEF39</x:v>
      </x:c>
      <x:c r="C241" s="7" t="str">
        <x:v>Sponge and coral communities of potential mineral resources in the deep-sea: An overview</x:v>
      </x:c>
      <x:c r="D241" s="7" t="str">
        <x:v>Tina N. Molodtsova | Christopher Kelley | Lénàïck Menot | Les Watling</x:v>
      </x:c>
      <x:c r="E241" s="11" t="str">
        <x:v>2018</x:v>
      </x:c>
      <x:c r="F241" s="7" t="str"/>
      <x:c r="G241" s="7" t="str">
        <x:v>preprint</x:v>
      </x:c>
      <x:c r="H241" s="7" t="str">
        <x:v>10.7287/peerj.preprints.26551</x:v>
      </x:c>
      <x:c r="I241" s="7" t="str">
        <x:v>https://doi.org/10.7287/peerj.preprints.26551</x:v>
      </x:c>
      <x:c r="J241" s="7" t="str">
        <x:v>Depletion of commercially valuable minerals on land and increased need of such resources for modern electronics and manufacturing is attracting more and more attention to deep-sea mineral deposits such as cobalt crusts, manganese nodules, phosphorites, polymetallic sulfides and even deep-sea ooze. In a few years we expect intensive exploitation in the deep-sea. Being suspension feeders, corals and sponges associated with hard substrata in potential mining sites would be adversely impacted by deep-sea mining. Deep-sea corals and sponges are characterized by extremely slow growth rates and, as can be seen from fishery impacts, they may take decades to centuries to restore. At the same time, they serve as a substrate, shelter and food for a number of associated deep-sea organisms, thus increasing the cumulative impact of their loss. We summarize here the available data on coral and sponge communities of solid deep-sea ore deposits and possible mechanisms driving their diversity.</x:v>
      </x:c>
      <x:c r="K241" s="11" t="str">
        <x:v>NO</x:v>
      </x:c>
      <x:c r="L241" s="7" t="str">
        <x:v>NOT_CONFIRMED</x:v>
      </x:c>
      <x:c r="M241" s="7" t="str"/>
      <x:c r="N241" s="7" t="str">
        <x:v>VERIFIED_DOI_DOCUMENT</x:v>
      </x:c>
      <x:c r="O241" s="7" t="str">
        <x:v>B02_DEEP_COLD_REVIEW_ASSESSMENT</x:v>
      </x:c>
      <x:c r="P241" s="11" t="str">
        <x:v>HIGH</x:v>
      </x:c>
      <x:c r="Q241" s="7" t="str">
        <x:v>Deep-sea corals and sponges associated with hard substrata in potential mining sites (cobalt crusts, manganese nodules, phosphorites, polymetallic sulfides)</x:v>
      </x:c>
      <x:c r="R241" s="7" t="str">
        <x:v>Deep-sea mining activities, including sediment disturbance, plumes, and physical disruption of benthic habitats</x:v>
      </x:c>
      <x:c r="S241" s="7" t="str">
        <x:v>Overview of adverse impacts on suspension feeders, extremely slow growth rates, potential for decades-to-centuries recovery, and cascading loss of associated species</x:v>
      </x:c>
      <x:c r="T241" s="7" t="str">
        <x:v>Substantive review/assessment (preprint) with direct focus on deep-sea mining impacts on coral and sponge communities, meeting B02 as a deep/cold coral/sponge review with sediment-impact relevance</x:v>
      </x:c>
      <x:c r="U241" s="7" t="str">
        <x:v>The document is a substantive overview of deep-sea coral and sponge communities in mineral resource areas, explicitly linking deep-sea mining to adverse impacts on these suspension feeders. It addresses sediment-related mining pathways (disturbance, plumes) indirectly but clearly, and provides assessment value regarding growth, recovery, and habitat loss. This qualifies as a deep/cold review or assessment under B02. It is not merely a physical or distribution study; it directly addresses biological and ecological consequences. The preprint nature does not affect eligibility. Closest alternative B01 is possible but B02 is more apt given its review/assessment character. Exclude is not warranted because the sediment/mining impact focal content is explicit.</x:v>
      </x:c>
      <x:c r="V241" s="7" t="str">
        <x:v>ALL_VERIFIED_NON_TROPICAL_TIER_B_INCLUSIONS</x:v>
      </x:c>
      <x:c r="W241" s="7" t="str">
        <x:v>TBV1-0062</x:v>
      </x:c>
    </x:row>
    <x:row r="242" ht="42" customHeight="1">
      <x:c r="A242" s="17" t="str">
        <x:v>B</x:v>
      </x:c>
      <x:c r="B242" s="7" t="str">
        <x:v>CWC-43059A5562DB</x:v>
      </x:c>
      <x:c r="C242" s="7" t="str">
        <x:v>Sponge reefs on the Northeast Pacific margin: geomorphic and biological variability</x:v>
      </x:c>
      <x:c r="D242" s="7" t="str">
        <x:v>Kim W. Conway | Anya Dunham | Lily Burke | Stephanie K. Archer | J. Shaw | R Kung</x:v>
      </x:c>
      <x:c r="E242" s="11" t="str">
        <x:v>2019</x:v>
      </x:c>
      <x:c r="F242" s="7" t="str">
        <x:v>Elsevier eBooks</x:v>
      </x:c>
      <x:c r="G242" s="7" t="str">
        <x:v>book-chapter</x:v>
      </x:c>
      <x:c r="H242" s="7" t="str">
        <x:v>10.1016/b978-0-12-814960-7.00017-8</x:v>
      </x:c>
      <x:c r="I242" s="7" t="str">
        <x:v>https://doi.org/10.1016/b978-0-12-814960-7.00017-8</x:v>
      </x:c>
      <x:c r="J242" s="7" t="str">
        <x:v>Abstract Hexactinellid sponges form extensive reefs in coastal and shelf waters of the northwestern margin of North America. The framework-constructed reefs are unique to this region, and create a diverse array of reef structures in water depths of 20–240 m. The reefs develop morphologies on a continuum ranging from thin-bedded biostromal reefs to steep sided bioherms and ridges &gt;20 m in height. The diverse morphologic types likely result from local variations of the seafloor tidal current regime and suspended sediment delivery as well as the ecologic development of the reef controlled by the characteristics of the benthic community dominated by reef-forming sponges. Measured ecological parameters in the various reef forms indicate differences in sponge cover in morphologic end members. Some reef morphologies, such as ridges, have large areas that support sponge growth, while in waveform morphologies the most favorable sponge growing situations are on the top and slope of the waveforms. Biostromal reefs possess gradients of most suitable reef growing habitat where patchiness results in significantly different densities of sponges on the reef surface.</x:v>
      </x:c>
      <x:c r="K242" s="11" t="str">
        <x:v>NO</x:v>
      </x:c>
      <x:c r="L242" s="7" t="str">
        <x:v>NOT_CONFIRMED</x:v>
      </x:c>
      <x:c r="M242" s="7" t="str"/>
      <x:c r="N242" s="7" t="str">
        <x:v>VERIFIED_DOI_DOCUMENT</x:v>
      </x:c>
      <x:c r="O242" s="7" t="str">
        <x:v>B01_DEEP_COLD_SEDIMENT_EVIDENCE</x:v>
      </x:c>
      <x:c r="P242" s="11" t="str">
        <x:v>HIGH</x:v>
      </x:c>
      <x:c r="Q242" s="7" t="str">
        <x:v>Cold-water hexactinellid sponges forming reefs in 20-240 m depths on the Northeast Pacific margin.</x:v>
      </x:c>
      <x:c r="R242" s="7" t="str">
        <x:v>Suspended sediment delivery and tidal current regime, implicated in reef morphological variability.</x:v>
      </x:c>
      <x:c r="S242" s="7" t="str">
        <x:v>Sponge cover and density differ among reef morphologies (biostromes, bioherms, ridges, waveforms), indicating ecological response to sediment-linked habitat gradients.</x:v>
      </x:c>
      <x:c r="T242" s="7" t="str">
        <x:v>Direct cold-water sponge sediment-pathway evidence with biological/ecological response measures (sponge cover/density).</x:v>
      </x:c>
      <x:c r="U242" s="7" t="str">
        <x:v>This book chapter examines hexactinellid sponge reefs on the Northeast Pacific margin, explicitly linking suspended sediment delivery and tidal regimes to reef morphology and measured ecological parameters such as sponge cover and density. This provides biological/ecological evidence for a cold-water sponge sediment pathway, meeting Tier B B01. It is preferable to CHAIN_ONLY because the abstract reports measurable sponge responses tied to sediment delivery, not merely references. It is not excluded because sediment is an explicit pathway and sponges are the target organisms.</x:v>
      </x:c>
      <x:c r="V242" s="7" t="str">
        <x:v>ALL_VERIFIED_NON_TROPICAL_TIER_B_INCLUSIONS</x:v>
      </x:c>
      <x:c r="W242" s="7" t="str">
        <x:v>TBV1-0089</x:v>
      </x:c>
    </x:row>
    <x:row r="243" ht="42" customHeight="1">
      <x:c r="A243" s="17" t="str">
        <x:v>B</x:v>
      </x:c>
      <x:c r="B243" s="7" t="str">
        <x:v>CWC-C077CA03EA6C</x:v>
      </x:c>
      <x:c r="C243" s="7" t="str">
        <x:v>Structure and development of Hawaiian deep-water coral communities on Mauna Loa lava flows</x:v>
      </x:c>
      <x:c r="D243" s="7" t="str">
        <x:v>MR Putts | FA Parrish | FA Trusdell | SE Kahng</x:v>
      </x:c>
      <x:c r="E243" s="11" t="str">
        <x:v>2019</x:v>
      </x:c>
      <x:c r="F243" s="7" t="str">
        <x:v>Marine Ecology Progress Series</x:v>
      </x:c>
      <x:c r="G243" s="7" t="str">
        <x:v>article</x:v>
      </x:c>
      <x:c r="H243" s="7" t="str">
        <x:v>10.3354/meps13106</x:v>
      </x:c>
      <x:c r="I243" s="7" t="str">
        <x:v>https://doi.org/10.3354/meps13106</x:v>
      </x:c>
      <x:c r="J243" s="7" t="str">
        <x:v>MEPS Marine Ecology Progress Series Contact the journal Facebook Twitter RSS Mailing List Subscribe to our mailing list via Mailchimp HomeLatest VolumeAbout the JournalEditorsTheme Sections MEPS 630:69-82 (2019) - DOI: https://doi.org/10.3354/meps13106 Structure and development of Hawaiian deep-water coral communities on Mauna Loa lava flows Meagan R. Putts1,*, Frank A. Parrish2, Frank A. Trusdell3, Samuel E. Kahng4 1University of Hawai'i at Manoa, 1000 Pope Road, Honolulu, Hawai'i 96822, USA 2Pacific Islands Fisheries Science Center, NOAA Inouye Regional Center, 1845 Wasp Blvd., Building 176, Honolulu, Hawai'i 96818, USA 3Hawaiian Volcano Observatory, United States Geological Survey, PO Box 1026, Hilo, Hawai'i 96721, USA 4Hawai'i Pacific University, College of Natural Science, 41-202 Kalanianaole Hwy #9 Waimanalo, Hawai'i 96795, USA *Corresponding author: meagan.putts@noaa.gov ABSTRACT: Submarine lava flows on the leeward flank of the Island of Hawai'i, USA, were examined by submersible and remotely operated vehicles to understand the structure and development of deep-water coral communities. Three sites were selected where historically documented lava flows crossed older prehistoric flows, providing 3 pairs of lava substrates of different ages (61/400 yr, 134/2000 yr, 143/2330 yr) to compare and contrast with a nearby older coral community (15000 yr) growing on fossil carbonate. The number of coral taxa, abundance, and colony size increased with substrate age on the 3 historical lava flows and fossil carbonate site, but not on the prehistoric flows. The faster-growing Coralliidae were the dominant taxa forming patches on the peaks of ridged terrain, while the slower-growing Antipatharia and Isididae were less abundant except at the fossil site where the community was dominated by the slowest-growing corals (including Kulamanamana haumeaae). A multivariate analysis of similarity of coral communities on lava flows found site, rather than substrate age, to be a better explanation for why paired flows were ecologically the same despite considerable age differences. The data suggest that hot, turbid, mineral-rich water from the more recent historical lava event re-initialized the community succession of the adjacent prehistoric lava substrate. Coral mortality would be greatest close to the edge of the historical flow with the expectation that survivorship would increase with distance from the impact. The survey transects were too short to detect a significant increase in the total coral community, but an increase was evident for the Coralliidae. KEY WORDS: Deep-sea coral · Cold-water coral · Hawai'i · Community succession · Habitat preference Full text in pdf format PreviousNextCite this article as: Putts MR, Parrish FA, Trusdell FA, Kahng SE (2019) Structure and development of Hawaiian deep-water coral communities on Mauna Loa lava flows. Mar Ecol Prog Ser 630:69-82. https://doi.org/10.3354/meps13106 Export citation RSS - Facebook - Tweet - linkedIn Cited by Published in MEPS Vol. 630. Online publication date: November 07, 2019 Print ISSN: 0171-8630; Online ISSN: 1616-1599 Copyright © 2019 Inter-Research.</x:v>
      </x:c>
      <x:c r="K243" s="11" t="str">
        <x:v>YES</x:v>
      </x:c>
      <x:c r="L243" s="7" t="str">
        <x:v>FROZEN_PUBLIC_FULL_TEXT_LOCATION</x:v>
      </x:c>
      <x:c r="M243" s="7" t="str">
        <x:v>https://www.int-res.com/articles/meps_oa/m630p069.pdf</x:v>
      </x:c>
      <x:c r="N243" s="7" t="str">
        <x:v>VERIFIED_DOI_DOCUMENT</x:v>
      </x:c>
      <x:c r="O243" s="7" t="str">
        <x:v>B01_DEEP_COLD_SEDIMENT_EVIDENCE</x:v>
      </x:c>
      <x:c r="P243" s="11" t="str">
        <x:v>HIGH</x:v>
      </x:c>
      <x:c r="Q243" s="7" t="str">
        <x:v>Deep-water corals (Coralliidae, Antipatharia, Isididae, Kulamanamana haumeaae)</x:v>
      </x:c>
      <x:c r="R243" s="7" t="str">
        <x:v>Turbid, mineral-rich water from historical lava flows; also lava substrate age</x:v>
      </x:c>
      <x:c r="S243" s="7" t="str">
        <x:v>Coral abundance, colony size, taxa richness, community succession; inferred coral mortality near flow edge</x:v>
      </x:c>
      <x:c r="T243" s="7" t="str">
        <x:v>Direct evidence from a deep-sea/cold-water coral community study that explicitly invokes a turbidity pathway from lava events and reports ecological responses, satisfying B01.</x:v>
      </x:c>
      <x:c r="U243" s="7" t="str">
        <x:v>The study examines deep-water coral communities on Hawaiian lava flows. It explicitly states that hot, turbid, mineral-rich water from a historical lava event re-initialized community succession, and predicts coral mortality decreasing with distance from the flow edge. This constitutes a clear turbidity/sediment pathway with ecological response evidence (abundance, composition, succession). The paper is a substantive article (MEPS). It qualifies under B01 because it is a cold-water/deep-sea coral study with an explicit turbidity effect, even though the study is not primarily experimental. Closest alternative would be EXCLUDE on the grounds that turbidity is secondary, but the abstract clearly links turbidity to observed community patterns and mortality, so B01 is appropriate.</x:v>
      </x:c>
      <x:c r="V243" s="7" t="str">
        <x:v>ALL_VERIFIED_CENTRAL_PEER_REVIEWED</x:v>
      </x:c>
      <x:c r="W243" s="7" t="str">
        <x:v>TBV1-1388</x:v>
      </x:c>
    </x:row>
    <x:row r="244" ht="42" customHeight="1">
      <x:c r="A244" s="17" t="str">
        <x:v>B</x:v>
      </x:c>
      <x:c r="B244" s="7" t="str">
        <x:v>GLV4-202A795603B4</x:v>
      </x:c>
      <x:c r="C244" s="7" t="str">
        <x:v>Technical Guidance Environmental impact assessment of marine dredging proposals</x:v>
      </x:c>
      <x:c r="D244" s="7" t="str"/>
      <x:c r="E244" s="11" t="str"/>
      <x:c r="F244" s="7" t="str">
        <x:v>epa.wa.gov.au</x:v>
      </x:c>
      <x:c r="G244" s="7" t="str">
        <x:v>environmental_impact_statement</x:v>
      </x:c>
      <x:c r="H244" s="7" t="str"/>
      <x:c r="I244" s="7" t="str">
        <x:v>https://www.epa.wa.gov.au/sites/default/files/Policies_and_Guidance/Technical_guidance_EIA_of_Marine_Dredging_Proposals.pdf</x:v>
      </x:c>
      <x:c r="J244" s="7" t="str">
        <x:v>of light, suspended and deposited sediment on sponges The guideline values in Table A11 represent lowest observable (sub-lethal) effects levels, but are generally less conservative than the values in Table A10 and can be used to define the outer boundary of the ZOHI. 48 Technical Guidance – Environmental impact assessment of marine dredging proposals Table A11: Possible-effects and probable-effects guideline values to define the outer boundary of the ZOHI for all sponges for use as an EPO and a MT respectively and considering the effects of suspended sediment concentration (SSC), light as a da</x:v>
      </x:c>
      <x:c r="K244" s="11" t="str">
        <x:v>YES</x:v>
      </x:c>
      <x:c r="L244" s="7" t="str">
        <x:v>PUBLIC_FULL_DOCUMENT_LOCATION</x:v>
      </x:c>
      <x:c r="M244" s="7" t="str">
        <x:v>https://www.epa.wa.gov.au/sites/default/files/Policies_and_Guidance/Technical_guidance_EIA_of_Marine_Dredging_Proposals.pdf</x:v>
      </x:c>
      <x:c r="N244" s="7" t="str">
        <x:v>VERIFIED_DIRECT_DOCUMENT_URL</x:v>
      </x:c>
      <x:c r="O244" s="7" t="str">
        <x:v>B02_DEEP_COLD_REVIEW_ASSESSMENT</x:v>
      </x:c>
      <x:c r="P244" s="11" t="str">
        <x:v>HIGH</x:v>
      </x:c>
      <x:c r="Q244" s="7" t="str">
        <x:v>Sponges are explicitly addressed, with guideline values for suspended and deposited sediment effects (all sponges).</x:v>
      </x:c>
      <x:c r="R244" s="7" t="str">
        <x:v>Marine dredging; suspended sediment concentration (SSC), deposited sediment, and associated light reduction.</x:v>
      </x:c>
      <x:c r="S244" s="7" t="str">
        <x:v>Provides possible-effects and probable-effects guideline values for sponges, including lowest observable (sub-lethal) effect levels to define the outer boundary of the ZOHI, with EPO and MT thresholds.</x:v>
      </x:c>
      <x:c r="T244" s="7" t="str">
        <x:v>Government technical guidance from the Western Australia EPA on environmental impact assessment of marine dredging, with a direct sediment-impact focus on sponges and clear potential to inform effects, exposure, thresholds, vulnerability, mitigation, or recovery.</x:v>
      </x:c>
      <x:c r="U244" s="7" t="str">
        <x:v>This technical guidance from the Western Australia EPA is a regulatory assessment document addressing marine dredging effects on sponges. It provides guideline values for suspended and deposited sediment, including SSC and light, and defines possible-effects and probable-effects thresholds for sponges used to define the outer boundary of the ZOHI (EPO and MT). This is substantive government guidance with direct sediment-impact focus and clear potential to inform effects, exposure, thresholds, and mitigation for sponges. The closest alternative would be B05 broad synthesis, but this document is specifically focused on dredging sediment impacts on sponges, not a cross-taxa synthesis; thus B02 is the appropriate Tier B basis.</x:v>
      </x:c>
      <x:c r="V244" s="7" t="str">
        <x:v>ALL_VERIFIED_NON_TROPICAL_TIER_B_INCLUSIONS</x:v>
      </x:c>
      <x:c r="W244" s="7" t="str">
        <x:v>TBV1-0437</x:v>
      </x:c>
    </x:row>
    <x:row r="245" ht="42" customHeight="1">
      <x:c r="A245" s="17" t="str">
        <x:v>B</x:v>
      </x:c>
      <x:c r="B245" s="7" t="str">
        <x:v>CWC-12F1C1B7BD1F</x:v>
      </x:c>
      <x:c r="C245" s="7" t="str">
        <x:v>Tidal Dynamics Control on Cold-Water Coral Growth: A High-Resolution Multivariable Study on Eastern Atlantic Cold-Water Coral Sites</x:v>
      </x:c>
      <x:c r="D245" s="7" t="str">
        <x:v>Katriina Juva | Sascha Flögel | Johannes Karstensen | Петер Линке | Wolf‐Christian Dullo</x:v>
      </x:c>
      <x:c r="E245" s="11" t="str">
        <x:v>2020</x:v>
      </x:c>
      <x:c r="F245" s="7" t="str">
        <x:v>Frontiers in Marine Science</x:v>
      </x:c>
      <x:c r="G245" s="7" t="str">
        <x:v>article</x:v>
      </x:c>
      <x:c r="H245" s="7" t="str">
        <x:v>10.3389/fmars.2020.00132</x:v>
      </x:c>
      <x:c r="I245" s="7" t="str">
        <x:v>https://doi.org/10.3389/fmars.2020.00132</x:v>
      </x:c>
      <x:c r="J245" s="7" t="str">
        <x:v>Cold-water coral (CWC) communities form complex benthic ecosystems in a distinct part of the water column. The exact processes supporting CWC reef growth and changes with time are still partly unsolved. Besides local hydrographic conditions, noticeable interactions of tidal flow with topography have been reported for CWC sites. Recent studies have suggested a tidally driven hydraulic control of flow over topographic features as a driver for local overturning at cold-water coral sites. This mechanism proposed a link between surface productivity and coral growth depths and is a driver of resuspension of the bottom material. Only few studies have concentrated on how these processes vary with the health status and structure of the cold-water coral occurrences. In this study, we explore the processes over tidal cycles by analyzing in situ stratification, hydrography and velocity data which we then combine with local topography from seven Desmophyllum pertusum (previously Lophelia pertusa) dominated eastern Atlantic CWC sites, from the Arctic to the southern hemisphere. The “quality” of CWC sites varies from thriving to declining and dead reefs. We show that living and healthy corals are concentrated at sites, where local hydrodynamics create overturning and mixing which overcomes on a daily basis gravitational particle sinking and thus re-supply food to filter-feeding corals. We find a very wide range of local hydrographic and biogeochemical conditions at the sites which suggests they play only a secondary role for CWC health.</x:v>
      </x:c>
      <x:c r="K245" s="11" t="str">
        <x:v>YES</x:v>
      </x:c>
      <x:c r="L245" s="7" t="str">
        <x:v>FROZEN_PUBLIC_FULL_TEXT_LOCATION</x:v>
      </x:c>
      <x:c r="M245" s="7" t="str">
        <x:v>https://www.frontiersin.org/articles/10.3389/fmars.2020.00132/pdf</x:v>
      </x:c>
      <x:c r="N245" s="7" t="str">
        <x:v>VERIFIED_DOI_DOCUMENT</x:v>
      </x:c>
      <x:c r="O245" s="7" t="str">
        <x:v>B01_DEEP_COLD_SEDIMENT_EVIDENCE</x:v>
      </x:c>
      <x:c r="P245" s="11" t="str">
        <x:v>HIGH</x:v>
      </x:c>
      <x:c r="Q245" s="7" t="str">
        <x:v>Cold-water coral communities dominated by Desmophyllum pertusum (previously Lophelia pertusa) across eastern Atlantic sites from Arctic to southern hemisphere.</x:v>
      </x:c>
      <x:c r="R245" s="7" t="str">
        <x:v>Tidally driven hydraulic control of flow over topographic features, which drives resuspension of bottom material and influences suspended particle supply.</x:v>
      </x:c>
      <x:c r="S245" s="7" t="str">
        <x:v>Coral health condition is assessed, distinguishing thriving, declining, and dead reefs; links between local hydrodynamics and coral growth/health are evaluated.</x:v>
      </x:c>
      <x:c r="T245" s="7" t="str">
        <x:v>B01: The study directly examines cold-water corals and explicitly includes resuspension of bottom material as a mechanism, with biological/ecological evidence on coral health and growth. It is a substantive research article providing evidence on sediment-related processes and coral responses.</x:v>
      </x:c>
      <x:c r="U245" s="7" t="str">
        <x:v>This record is a peer-reviewed article on cold-water corals (Desmophyllum pertusum). It explicitly addresses resuspension of bottom material driven by tidal flow, a sediment-related pathway, and reports on coral health status across sites. This meets B01_DEEP_COLD_SEDIMENT_EVIDENCE because the resuspension pathway is linked to ecological outcomes (thriving vs declining reefs). The closest alternative would be CHAIN_ONLY if sediment were only incidental, but here resuspension is an explicit part of the mechanism. Therefore, inclusion is appropriate.</x:v>
      </x:c>
      <x:c r="V245" s="7" t="str">
        <x:v>ALL_VERIFIED_CENTRAL_PEER_REVIEWED</x:v>
      </x:c>
      <x:c r="W245" s="7" t="str">
        <x:v>TBV1-1362</x:v>
      </x:c>
    </x:row>
    <x:row r="246" ht="42" customHeight="1">
      <x:c r="A246" s="17" t="str">
        <x:v>B</x:v>
      </x:c>
      <x:c r="B246" s="7" t="str">
        <x:v>CWC-BEEFC104521D</x:v>
      </x:c>
      <x:c r="C246" s="7" t="str">
        <x:v>Tidal interactions with local topography above a sponge reef</x:v>
      </x:c>
      <x:c r="D246" s="7" t="str">
        <x:v>Jeannette Bedard</x:v>
      </x:c>
      <x:c r="E246" s="11" t="str">
        <x:v>2011</x:v>
      </x:c>
      <x:c r="F246" s="7" t="str">
        <x:v>UVic’s Research and Learning Repository (University of Victoria)</x:v>
      </x:c>
      <x:c r="G246" s="7" t="str">
        <x:v>dissertation</x:v>
      </x:c>
      <x:c r="H246" s="7" t="str"/>
      <x:c r="I246" s="7" t="str">
        <x:v>http://hdl.handle.net/1828/3320</x:v>
      </x:c>
      <x:c r="J246" s="7" t="str">
        <x:v>The interaction of tidal currents with Fraser Ridge in the Strait of Georgia, B.C., generates an internal lee-wave on each strong flood but, due to the ridge's asymmetry, not during ebbs. Just prior to lee-wave formation, a strong accelerated bottom jet forms with magnitudes up to 0.7 m s^-1 forms during barotropic tidal flows reaching 0.2 m s^-1. On the steepest slope, this jet forms directly above a rare glass sponge reef, and may prevent the sponges from being smothered in sediment by periodically resuspending and carrying it away. Both the accelerated jet and lee-wave remove tidal energy. At peak flood tide, the lee-wave has energy dissipation rates reaching 10^-5 W kg^-1 that removes energy at a rate of ~611 W m^-1, while the bottom boundary layer at the time of the accelerated jet has energy dissipation rates reaching 10^-4 W kg^-1 that removes energy at a rate of ~525 W m^-1.</x:v>
      </x:c>
      <x:c r="K246" s="11" t="str">
        <x:v>NO</x:v>
      </x:c>
      <x:c r="L246" s="7" t="str">
        <x:v>NOT_CONFIRMED</x:v>
      </x:c>
      <x:c r="M246" s="7" t="str"/>
      <x:c r="N246" s="7" t="str">
        <x:v>VERIFIED_BIBLIOGRAPHIC_DOCUMENT</x:v>
      </x:c>
      <x:c r="O246" s="7" t="str">
        <x:v>B01_DEEP_COLD_SEDIMENT_EVIDENCE</x:v>
      </x:c>
      <x:c r="P246" s="11" t="str">
        <x:v>HIGH</x:v>
      </x:c>
      <x:c r="Q246" s="7" t="str">
        <x:v>Cold-water glass sponge reef (rare glass sponge reef) in the Strait of Georgia, B.C.</x:v>
      </x:c>
      <x:c r="R246" s="7" t="str">
        <x:v>Sediment smothering risk addressed by tidal currents; accelerated bottom jet and internal lee-wave resuspend and transport sediment away from the reef.</x:v>
      </x:c>
      <x:c r="S246" s="7" t="str">
        <x:v>The study assesses physical dynamics (jet, lee-wave, dissipation) and hypothesizes that these processes prevent sediment smothering, providing indirect ecological condition evidence for sponge survival.</x:v>
      </x:c>
      <x:c r="T246" s="7" t="str">
        <x:v>Deep/cold-water sponge reef with explicit sediment pathway (resuspension, transport) and ecological relevance (prevention of smothering), qualifying as B01 deep/cold sediment evidence.</x:v>
      </x:c>
      <x:c r="U246" s="7" t="str">
        <x:v>This dissertation examines tidal interactions with topography above a rare glass sponge reef, focusing on an accelerated bottom jet and internal lee-wave that resuspend sediment. The abstract explicitly links these physical processes to preventing the sponges from being smothered, establishing a clear sediment pathway (resuspension/carry-away) and ecological condition outcome (avoided smothering). This meets B01_DEEP_COLD_SEDIMENT_EVIDENCE as a cold-water sponge source with sediment-related impact evidence. The closest alternative would be B02 for a substantive assessment, but B01 is more specific because the abstract directly relates sediment transport to sponge condition rather than being a broad review or assessment. The document is a substantive dissertation, not a webpage, and the sediment focus is central, so CHAIN_ONLY or EXCLUDE are inappropriate.</x:v>
      </x:c>
      <x:c r="V246" s="7" t="str">
        <x:v>ALL_VERIFIED_NON_TROPICAL_TIER_B_INCLUSIONS</x:v>
      </x:c>
      <x:c r="W246" s="7" t="str">
        <x:v>TBV1-0128</x:v>
      </x:c>
    </x:row>
    <x:row r="247" ht="42" customHeight="1">
      <x:c r="A247" s="17" t="str">
        <x:v>B</x:v>
      </x:c>
      <x:c r="B247" s="7" t="str">
        <x:v>GLV4-909B9B4E17F7</x:v>
      </x:c>
      <x:c r="C247" s="7" t="str">
        <x:v>Tilt Cove Exploration Drilling Project - Canada.ca</x:v>
      </x:c>
      <x:c r="D247" s="7" t="str"/>
      <x:c r="E247" s="11" t="str"/>
      <x:c r="F247" s="7" t="str">
        <x:v>iaac-aeic.gc.ca</x:v>
      </x:c>
      <x:c r="G247" s="7" t="str">
        <x:v>report</x:v>
      </x:c>
      <x:c r="H247" s="7" t="str"/>
      <x:c r="I247" s="7" t="str">
        <x:v>https://iaac-aeic.gc.ca/050/documents/p80177/147590E.pdf</x:v>
      </x:c>
      <x:c r="J247" s="7" t="str">
        <x:v>DFO (Fisheries and Oceans Canada). 2021. Coral and Sponge Mitigations in Relation to Exploratory Drilling Programs in the Newfoundland and Labrador Region. Canadian Science Advisory Secretariat Science Advisory Report 2021/028: 26. de Robertis, A. and N.O. Handegard. 2013. Fish avoidance of research vessels and the efficacy of noise-reduced vessels: A review. ICES Journal of Marine Science 70: 34-45. Edge, K.J., E.L. Johnston, K.A. Dafforn, S.L. Simpson, T. Kutti, and R.J. Bannister. 2016. Sub-lethal effects of water-based drilling muds on the deep-water sponge Geodia barretti. Environmental P</x:v>
      </x:c>
      <x:c r="K247" s="11" t="str">
        <x:v>YES</x:v>
      </x:c>
      <x:c r="L247" s="7" t="str">
        <x:v>PUBLIC_FULL_DOCUMENT_LOCATION</x:v>
      </x:c>
      <x:c r="M247" s="7" t="str">
        <x:v>https://iaac-aeic.gc.ca/050/documents/p80177/147590E.pdf</x:v>
      </x:c>
      <x:c r="N247" s="7" t="str">
        <x:v>VERIFIED_DIRECT_DOCUMENT_URL</x:v>
      </x:c>
      <x:c r="O247" s="7" t="str">
        <x:v>B02_DEEP_COLD_REVIEW_ASSESSMENT</x:v>
      </x:c>
      <x:c r="P247" s="11" t="str">
        <x:v>MEDIUM</x:v>
      </x:c>
      <x:c r="Q247" s="7" t="str">
        <x:v>Deep-water corals and sponges in the Newfoundland and Labrador region, including the sponge Geodia barretti.</x:v>
      </x:c>
      <x:c r="R247" s="7" t="str">
        <x:v>Exploratory drilling, drilling muds, and associated sediment-related pathways in a cold-water marine environment.</x:v>
      </x:c>
      <x:c r="S247" s="7" t="str">
        <x:v>Includes references to coral and sponge mitigation measures, science advisory reporting, and sub-lethal effects of water-based drilling muds on Geodia barretti.</x:v>
      </x:c>
      <x:c r="T247" s="7" t="str">
        <x:v>The document is a regulatory assessment/report for a drilling project, explicitly referencing coral and sponge mitigations and drilling-mud effects, thus meeting the deep/cold review/assessment pathway with a direct sediment-impact focus.</x:v>
      </x:c>
      <x:c r="U247" s="7" t="str">
        <x:v>This record is a government/regulatory assessment report (from iaac-aeic.gc.ca) for the Tilt Cove Exploration Drilling Project. The abstract/snippet includes citations to DFO's Coral and Sponge Mitigations in Relation to Exploratory Drilling Programs and Edge et al. (2016) on sub-lethal effects of drilling muds on the deep-water sponge Geodia barretti. This indicates the document itself is a substantive assessment with a direct sediment-impact focus on corals and sponges, qualifying as B02_DEEP_COLD_REVIEW_ASSESSMENT. The closest alternative would be exclusion for insufficient evidence, but the reference content strongly suggests relevant assessment material. Confidence is MEDIUM because only the reference list is provided, not the full text.</x:v>
      </x:c>
      <x:c r="V247" s="7" t="str">
        <x:v>ALL_VERIFIED_NON_TROPICAL_TIER_B_INCLUSIONS</x:v>
      </x:c>
      <x:c r="W247" s="7" t="str">
        <x:v>TBV1-0706</x:v>
      </x:c>
    </x:row>
    <x:row r="248" ht="42" customHeight="1">
      <x:c r="A248" s="17" t="str">
        <x:v>B</x:v>
      </x:c>
      <x:c r="B248" s="7" t="str">
        <x:v>CWC-742B2178A624</x:v>
      </x:c>
      <x:c r="C248" s="7" t="str">
        <x:v>Transcriptomic signatures across a critical sedimentation threshold in a major reef-building coral</x:v>
      </x:c>
      <x:c r="D248" s="7" t="str">
        <x:v>Colin Lock | Melissa M. Gabriel | Bastian Bentlage</x:v>
      </x:c>
      <x:c r="E248" s="11" t="str">
        <x:v>2023</x:v>
      </x:c>
      <x:c r="F248" s="7" t="str">
        <x:v>bioRxiv (Cold Spring Harbor Laboratory)</x:v>
      </x:c>
      <x:c r="G248" s="7" t="str">
        <x:v>preprint</x:v>
      </x:c>
      <x:c r="H248" s="7" t="str">
        <x:v>10.1101/2023.11.06.565897</x:v>
      </x:c>
      <x:c r="I248" s="7" t="str">
        <x:v>https://doi.org/10.1101/2023.11.06.565897</x:v>
      </x:c>
      <x:c r="J248" s="7" t="str">
        <x:v>Abstract Sedimentation is a major cause of global near-shore coral reef decline. While negative impacts of sedimentation on coral reef community composition have been well documented, the effects of sedimentation on coral metabolism in situ have received comparatively little attention. Using transcriptomics, we identified gene expression patterns changing across a previously defined sedimentation threshold that was deemed critical due to changes in coral cover and community composition. We identified genes, pathways, and molecular processes associated with this transition that may allow corals, such as Porites lobata , to tolerate chronic, severe sedimentation and persist in turbid environments. Alternative energy generation pathways may help Porites lobata maintain a persistent stress response to survive while light and oxygen availability are diminished. We found evidence for the expression of genes linked to increased environmental sensing and cellular communication that likely allow Porites lobata to efficiently respond to sedimentation stress and associated pathogen challenges. Cell damage increases under stress; consequently, we found apoptosis pathways over-represented under severe sedimentation, a likely consequence of damaged cell removal to maintain colony integrity. The results presented here provide a framework for the response of Porites lobata to sedimentation stress under field conditions. Testing this framework and its related hypotheses using multi-omics approaches can further our understanding of metabolic plasticity and acclimation potential of corals to sedimentation and their resilience in turbid reef systems.</x:v>
      </x:c>
      <x:c r="K248" s="11" t="str">
        <x:v>YES</x:v>
      </x:c>
      <x:c r="L248" s="7" t="str">
        <x:v>FROZEN_PUBLIC_FULL_TEXT_LOCATION</x:v>
      </x:c>
      <x:c r="M248" s="7" t="str">
        <x:v>https://www.biorxiv.org/content/biorxiv/early/2023/11/08/2023.11.06.565897.full.pdf</x:v>
      </x:c>
      <x:c r="N248" s="7" t="str">
        <x:v>VERIFIED_DOI_DOCUMENT</x:v>
      </x:c>
      <x:c r="O248" s="7" t="str">
        <x:v>B04_TROPICAL_PHYSICAL_SEDIMENT_ANALOGUE</x:v>
      </x:c>
      <x:c r="P248" s="11" t="str">
        <x:v>HIGH</x:v>
      </x:c>
      <x:c r="Q248" s="7" t="str">
        <x:v>Tropical reef-building coral Porites lobata</x:v>
      </x:c>
      <x:c r="R248" s="7" t="str">
        <x:v>Sedimentation, turbidity, chronic severe sedimentation, critical sedimentation threshold</x:v>
      </x:c>
      <x:c r="S248" s="7" t="str">
        <x:v>Transcriptomic gene expression changes including pathways related to alternative energy generation, environmental sensing, cellular communication, and apoptosis</x:v>
      </x:c>
      <x:c r="T248" s="7" t="str">
        <x:v>Directly examines a tropical coral's biological response to physical sediment exposure across a defined sedimentation threshold, qualifying as a B04 tropical physical sediment analogue study.</x:v>
      </x:c>
      <x:c r="U248" s="7" t="str">
        <x:v>The record is a preprint that explicitly investigates sedimentation effects on the tropical coral Porites lobata in situ. It uses transcriptomics to identify gene expression patterns across a previously defined critical sedimentation threshold, reporting molecular evidence of stress responses, metabolic plasticity, and apoptosis. This meets B04 because it involves a tropical coral, directly measures or tests physical sediment exposure (turbidity and sedimentation gradient), and reports a clearly relevant biological response (gene expression). It is not B01 or B02 as those require deep/cold systems, and not B03 because the organism is tropical. The document is an identifiable substantive preprint, so exclusion is not appropriate.</x:v>
      </x:c>
      <x:c r="V248" s="7" t="str">
        <x:v>SPARING_TOP_25_TROPICAL_DIRECT_PHYSICAL_ANALOGUES</x:v>
      </x:c>
      <x:c r="W248" s="7" t="str">
        <x:v>TBV1-1050</x:v>
      </x:c>
    </x:row>
    <x:row r="249" ht="42" customHeight="1">
      <x:c r="A249" s="17" t="str">
        <x:v>B</x:v>
      </x:c>
      <x:c r="B249" s="7" t="str">
        <x:v>CWC-23E9D08C4006</x:v>
      </x:c>
      <x:c r="C249" s="7" t="str">
        <x:v>Transient turbid water mass reduces temperature-induced coral bleaching and mortality in Barbados</x:v>
      </x:c>
      <x:c r="D249" s="7" t="str">
        <x:v>Hazel A. Oxenford | Henri Vallès</x:v>
      </x:c>
      <x:c r="E249" s="11" t="str">
        <x:v>2016</x:v>
      </x:c>
      <x:c r="F249" s="7" t="str">
        <x:v>PeerJ</x:v>
      </x:c>
      <x:c r="G249" s="7" t="str">
        <x:v>article</x:v>
      </x:c>
      <x:c r="H249" s="7" t="str">
        <x:v>10.7717/peerj.2118</x:v>
      </x:c>
      <x:c r="I249" s="7" t="str">
        <x:v>https://doi.org/10.7717/peerj.2118</x:v>
      </x:c>
      <x:c r="J249" s="7" t="str">
        <x:v>Global warming is seen as one of the greatest threats to the world's coral reefs and, with the continued rise in sea surface temperature predicted into the future, there is a great need for further understanding of how to prevent and address the damaging impacts. This is particularly so for countries whose economies depend heavily on healthy reefs, such as those of the eastern Caribbean. Here, we compare the severity of bleaching and mortality for five dominant coral species at six representative reef sites in Barbados during the two most significant warm-water events ever recorded in the eastern Caribbean, i.e., 2005 and 2010, and describe prevailing island-scale sea water conditions during both events. In so doing, we demonstrate that coral bleaching and subsequent mortality were considerably lower in 2010 than in 2005 for all species, irrespective of site, even though the anomalously warm water temperature profiles were very similar between years. We also show that during the 2010 event, Barbados was engulfed by a transient dark green turbid water mass of riverine origin coming from South America. We suggest that reduced exposure to high solar radiation associated with this transient water mass was the primary contributing factor to the lower bleaching and mortality observed in all corals. We conclude that monitoring these episodic mesoscale oceanographic features might improve risk assessments of southeastern Caribbean reefs to warm-water events in the future.</x:v>
      </x:c>
      <x:c r="K249" s="11" t="str">
        <x:v>YES</x:v>
      </x:c>
      <x:c r="L249" s="7" t="str">
        <x:v>FROZEN_PUBLIC_FULL_TEXT_LOCATION</x:v>
      </x:c>
      <x:c r="M249" s="7" t="str">
        <x:v>https://peerj.com/articles/2118.pdf</x:v>
      </x:c>
      <x:c r="N249" s="7" t="str">
        <x:v>VERIFIED_DOI_DOCUMENT</x:v>
      </x:c>
      <x:c r="O249" s="7" t="str">
        <x:v>B04_TROPICAL_PHYSICAL_SEDIMENT_ANALOGUE</x:v>
      </x:c>
      <x:c r="P249" s="11" t="str">
        <x:v>HIGH</x:v>
      </x:c>
      <x:c r="Q249" s="7" t="str">
        <x:v>Five dominant coral species at six reef sites in Barbados.</x:v>
      </x:c>
      <x:c r="R249" s="7" t="str">
        <x:v>Transient turbid water mass of riverine origin from South America, reducing solar radiation; compared between warm-water events with similar temperature profiles.</x:v>
      </x:c>
      <x:c r="S249" s="7" t="str">
        <x:v>Coral bleaching and subsequent mortality were considerably lower in 2010 than 2005, attributed to reduced solar radiation from turbidity.</x:v>
      </x:c>
      <x:c r="T249" s="7" t="str">
        <x:v>B04: tropical coral study directly comparing physical turbidity exposure and reporting a clearly relevant biological response (bleaching and mortality).</x:v>
      </x:c>
      <x:c r="U249" s="7" t="str">
        <x:v>The study is a tropical coral study that directly evaluates the effect of a turbid water mass on coral bleaching and mortality. The sediment pathway is explicit (transient turbid water of riverine origin), and the biological response is clearly measured (reduced bleaching and mortality). This fits B04, which allows observational evidence of physical sediment exposure and biological response. It is not merely a mention of turbidity; turbidity is the mechanism, making it preferable to exclusion.</x:v>
      </x:c>
      <x:c r="V249" s="7" t="str">
        <x:v>SPARING_TOP_25_TROPICAL_DIRECT_PHYSICAL_ANALOGUES</x:v>
      </x:c>
      <x:c r="W249" s="7" t="str">
        <x:v>TBV1-1052</x:v>
      </x:c>
    </x:row>
    <x:row r="250" ht="42" customHeight="1">
      <x:c r="A250" s="17" t="str">
        <x:v>B</x:v>
      </x:c>
      <x:c r="B250" s="7" t="str">
        <x:v>CWC-7A2CC1A1CCA7</x:v>
      </x:c>
      <x:c r="C250" s="7" t="str">
        <x:v>Trophic structure of a cold-water coral mound community (Rockall Bank, NE Atlantic) in relation to the near-bottom particle supply and current regime</x:v>
      </x:c>
      <x:c r="D250" s="7" t="str">
        <x:v>Gerard Duineveld | Marc Lavaleye | M.J.N. Bergman | Henko de Stigter | Furu Mienis</x:v>
      </x:c>
      <x:c r="E250" s="11" t="str">
        <x:v>2007</x:v>
      </x:c>
      <x:c r="F250" s="7" t="str">
        <x:v>Bulletin of Marine Science</x:v>
      </x:c>
      <x:c r="G250" s="7" t="str">
        <x:v>article</x:v>
      </x:c>
      <x:c r="H250" s="7" t="str"/>
      <x:c r="I250" s="7" t="str">
        <x:v>https://dialnet.unirioja.es/servlet/articulo?codigo=4908505</x:v>
      </x:c>
      <x:c r="J250" s="7" t="str">
        <x:v>On the SE slope of Rockall Bank, cold-water corals form dense aggregations on the top of elevated mounds supposedly because mounds give rise to topographically accelerated currents and thus enhanced particle supply. In 2005, a study was made of the trophic structure of a Rockall coral mound community by means of N-15 stable isotope signatures. Simultaneously near-bottom current speed, turbidity, and temperature were measured on and off the mound to search for links between the predominant feeding mode of the coral community, the particle supply, and the physical factors governing the supply. The range of delta N-15 in the coral community was small in comparison to other deep habitats due to the absence of deposit-feeders. The delta N-15 of corals was very close to those of obligate filter-feeders (tunicate, bivalves) indicating that corals assimilate similar types of particles as these filter-feeders. Benthic lander deployments on the mound and in the adjacent gully and plains showed that currents were highest off mound. No major differences were found in near-bottom turbidity between the habitats at the time of the cruise. An 11-mo lander deployment revealed an extended supply of fluorescent particles to the mound community between early February and July 2005. Particle supply to the corals varied daily with higher concentrations associated with relatively warm and saline water flowing down slope. The collected data point to a simplified food web in the coral community sustained by an advection of fresh particles derived from production higher on the bank. The typical distribution of cold-water corals capping the mounds cannot be explained simply by enhanced currents relative to the adjacent plain and gully.</x:v>
      </x:c>
      <x:c r="K250" s="11" t="str">
        <x:v>NO</x:v>
      </x:c>
      <x:c r="L250" s="7" t="str">
        <x:v>NOT_CONFIRMED</x:v>
      </x:c>
      <x:c r="M250" s="7" t="str"/>
      <x:c r="N250" s="7" t="str">
        <x:v>VERIFIED_BIBLIOGRAPHIC_DOCUMENT</x:v>
      </x:c>
      <x:c r="O250" s="7" t="str">
        <x:v>B01_DEEP_COLD_SEDIMENT_EVIDENCE</x:v>
      </x:c>
      <x:c r="P250" s="11" t="str">
        <x:v>HIGH</x:v>
      </x:c>
      <x:c r="Q250" s="7" t="str">
        <x:v>Cold-water corals on Rockall Bank mounds (SE slope), likely Lophelia-associated community.</x:v>
      </x:c>
      <x:c r="R250" s="7" t="str">
        <x:v>Near-bottom particle supply, turbidity, suspended particle flux, current regime, and advection of fresh particles.</x:v>
      </x:c>
      <x:c r="S250" s="7" t="str">
        <x:v>Trophic structure and feeding mode: coral delta N-15 signatures close to filter-feeders, indicating reliance on suspended particles; investigation of particle supply links to coral food web.</x:v>
      </x:c>
      <x:c r="T250" s="7" t="str">
        <x:v>B01: A deep/cold-water coral study explicitly addressing suspended-particle/turbidity/particle-supply pathways and providing biological/ecological evidence via trophic structure and feeding relationships.</x:v>
      </x:c>
      <x:c r="U250" s="7" t="str">
        <x:v>This is a substantive article on a cold-water coral mound community that directly investigates near-bottom particle supply and turbidity as a stressor/pathway, and links it to trophic structure (biological/ecological response). The abstract clearly reports corals consuming fresh advected particles, and the study examines particle supply variation and current regime. This meets the B01 deep/cold sediment-evidence pathway. It is not merely a distribution or mapping study; it provides ecological evidence of how particle supply affects coral feeding and food web structure. Exclusions do not apply: organism is cold-water coral, sediment/particle pathway is explicit, and response is biological/ecological. Closest alternative would be B03, but B01 more directly matches deep/cold sediment evidence. Confidence is high because the abstract is clear and specific.</x:v>
      </x:c>
      <x:c r="V250" s="7" t="str">
        <x:v>ALL_VERIFIED_CENTRAL_PEER_REVIEWED</x:v>
      </x:c>
      <x:c r="W250" s="7" t="str">
        <x:v>TBV1-0092</x:v>
      </x:c>
    </x:row>
    <x:row r="251" ht="42" customHeight="1">
      <x:c r="A251" s="17" t="str">
        <x:v>B</x:v>
      </x:c>
      <x:c r="B251" s="7" t="str">
        <x:v>CWC-6D38E0D634BA</x:v>
      </x:c>
      <x:c r="C251" s="7" t="str">
        <x:v>Turbid Coral Reefs: Past, Present and Future—A Review</x:v>
      </x:c>
      <x:c r="D251" s="7" t="str">
        <x:v>Adi Zweifler | Michael O’Leary | Kyle M. Morgan | Nicola K. Browne</x:v>
      </x:c>
      <x:c r="E251" s="11" t="str">
        <x:v>2021</x:v>
      </x:c>
      <x:c r="F251" s="7" t="str">
        <x:v>Diversity</x:v>
      </x:c>
      <x:c r="G251" s="7" t="str">
        <x:v>article</x:v>
      </x:c>
      <x:c r="H251" s="7" t="str">
        <x:v>10.3390/d13060251</x:v>
      </x:c>
      <x:c r="I251" s="7" t="str">
        <x:v>https://doi.org/10.3390/d13060251</x:v>
      </x:c>
      <x:c r="J251" s="7" t="str">
        <x:v>Increasing evidence suggests that coral reefs exposed to elevated turbidity may be more resilient to climate change impacts and serve as an important conservation hotspot. However, logistical difficulties in studying turbid environments have led to poor representation of these reef types within the scientific literature, with studies using different methods and definitions to characterize turbid reefs. Here we review the geological origins and growth histories of turbid reefs from the Holocene (past), their current ecological and environmental states (present), and their potential responses and resilience to increasing local and global pressures (future). We classify turbid reefs using new descriptors based on their turbidity regime (persistent, fluctuating, transitional) and sources of sediment input (natural versus anthropogenic). Further, by comparing the composition, function and resilience of two of the most studied turbid reefs, Paluma Shoals Reef Complex, Australia (natural turbidity) and Singapore reefs (anthropogenic turbidity), we found them to be two distinct types of turbid reefs with different conservation status. As the geographic range of turbid reefs is expected to increase due to local and global stressors, improving our understanding of their responses to environmental change will be central to global coral reef conservation efforts.</x:v>
      </x:c>
      <x:c r="K251" s="11" t="str">
        <x:v>YES</x:v>
      </x:c>
      <x:c r="L251" s="7" t="str">
        <x:v>FROZEN_PUBLIC_FULL_TEXT_LOCATION</x:v>
      </x:c>
      <x:c r="M251" s="7" t="str">
        <x:v>https://www.mdpi.com/1424-2818/13/6/251/pdf?version=1623125817</x:v>
      </x:c>
      <x:c r="N251" s="7" t="str">
        <x:v>VERIFIED_DOI_DOCUMENT</x:v>
      </x:c>
      <x:c r="O251" s="7" t="str">
        <x:v>B05_BROAD_SYNTHESIS_WITH_TARGET_EVIDENCE</x:v>
      </x:c>
      <x:c r="P251" s="11" t="str">
        <x:v>HIGH</x:v>
      </x:c>
      <x:c r="Q251" s="7" t="str">
        <x:v>Tropical coral reef communities, with specific focus on turbid reefs including Paluma Shoals Reef Complex and Singapore reefs.</x:v>
      </x:c>
      <x:c r="R251" s="7" t="str">
        <x:v>Elevated turbidity, sediment input from natural and anthropogenic sources, and variable turbidity regimes (persistent, fluctuating, transitional).</x:v>
      </x:c>
      <x:c r="S251" s="7" t="str">
        <x:v>Review of ecological state, composition, function, resilience, and responses to local and global pressures; discusses conservation status and potential resilience to climate change.</x:v>
      </x:c>
      <x:c r="T251" s="7" t="str">
        <x:v>This is a substantive review article that synthesizes sediment/turbidity effects on coral reefs, providing ecological and resilience assessments. It qualifies under B05 as a broad sediment-effects synthesis with target coral evidence, even though it does not present new experimental data.</x:v>
      </x:c>
      <x:c r="U251" s="7" t="str">
        <x:v>The record is a review of turbid coral reefs, explicitly examining elevated turbidity and sediment inputs and their ecological consequences, including composition, resilience, and conservation status. The organism is corals (tropical), the sediment pathway is turbidity and sedimentation, and the response is ecological and resilience-related. It does not fit B04 because it is a synthesis rather than a direct experimental measurement; B02 is for deep/cold systems, not applicable. It is not CHAIN_ONLY because it directly contains coral-sediment evidence. Thus B05 is the most appropriate Tier B pathway.</x:v>
      </x:c>
      <x:c r="V251" s="7" t="str">
        <x:v>ALL_VERIFIED_NON_TROPICAL_TIER_B_INCLUSIONS</x:v>
      </x:c>
      <x:c r="W251" s="7" t="str">
        <x:v>TBV1-1221</x:v>
      </x:c>
    </x:row>
    <x:row r="252" ht="42" customHeight="1">
      <x:c r="A252" s="17" t="str">
        <x:v>B</x:v>
      </x:c>
      <x:c r="B252" s="7" t="str">
        <x:v>CWC-543E1FDEF0FC</x:v>
      </x:c>
      <x:c r="C252" s="7" t="str">
        <x:v>Unravelling the enigma of discontinuous sedimentary deposits in cold-water coral mounds in the Atlantic Ocean</x:v>
      </x:c>
      <x:c r="D252" s="7" t="str">
        <x:v>Dierk Hebbeln | Claudia Wienberg</x:v>
      </x:c>
      <x:c r="E252" s="11" t="str">
        <x:v>2025</x:v>
      </x:c>
      <x:c r="F252" s="7" t="str">
        <x:v>Frontiers in Marine Science</x:v>
      </x:c>
      <x:c r="G252" s="7" t="str">
        <x:v>article</x:v>
      </x:c>
      <x:c r="H252" s="7" t="str">
        <x:v>10.3389/fmars.2025.1611432</x:v>
      </x:c>
      <x:c r="I252" s="7" t="str">
        <x:v>https://doi.org/10.3389/fmars.2025.1611432</x:v>
      </x:c>
      <x:c r="J252" s="7" t="str">
        <x:v>Cold-water coral mounds are common along the continental margins of the Atlantic Ocean. They are formed by coral growth and sediment accumulation and consist of coral fragments embedded in hemipelagic sediments. Coral mounds are expected to provide high-resolution palaeo-records due to their elevated morphology. However, most sediment cores from coral mounds exhibit significant hiatuses (stratigraphic gaps), often spanning more than 100 kyr, raising questions about the fate of deposits formed during these periods. Three processes behind the hiatuses are critically reviewed: gravity-induced mass wasting, non-deposition, and winnowing. While mass wasting could remove entire mound layers, hydrodynamically controlled processes like non-deposition and winnowing affect fine-grained sediments and do not mobilise larger coral fragments. Evidence for large-scale mass wasting events on coral mounds remains inconclusive, suggesting that hydrodynamic processes are the primary cause of the hiatuses in the mound record . Consequently, the coral record preserved on the mounds is typically complete. Mound formation occurs during active reef growth, while during periods without reef growth, strong hydrodynamics enhanced by the mound morphology increasing turbulence around the mound prevent sustained sediment accumulation, causing the frequently observed hiatuses.</x:v>
      </x:c>
      <x:c r="K252" s="11" t="str">
        <x:v>YES</x:v>
      </x:c>
      <x:c r="L252" s="7" t="str">
        <x:v>FROZEN_PUBLIC_FULL_TEXT_LOCATION</x:v>
      </x:c>
      <x:c r="M252" s="7" t="str">
        <x:v>https://www.frontiersin.org/journals/marine-science/articles/10.3389/fmars.2025.1611432/pdf</x:v>
      </x:c>
      <x:c r="N252" s="7" t="str">
        <x:v>VERIFIED_DOI_DOCUMENT</x:v>
      </x:c>
      <x:c r="O252" s="7" t="str">
        <x:v>B02_DEEP_COLD_REVIEW_ASSESSMENT</x:v>
      </x:c>
      <x:c r="P252" s="11" t="str">
        <x:v>HIGH</x:v>
      </x:c>
      <x:c r="Q252" s="7" t="str">
        <x:v>Cold-water corals forming mounds in the Atlantic Ocean</x:v>
      </x:c>
      <x:c r="R252" s="7" t="str">
        <x:v>Sedimentary processes: deposition, non-deposition, winnowing, mass wasting, hydrodynamics</x:v>
      </x:c>
      <x:c r="S252" s="7" t="str">
        <x:v>Assessment of discontinuous sedimentary deposits and hiatuses in coral mound records; evaluates controls on mound formation and preservation</x:v>
      </x:c>
      <x:c r="T252" s="7" t="str">
        <x:v>Substantive peer-reviewed review with a direct sediment-impact focus on cold-water coral mounds, meeting B02</x:v>
      </x:c>
      <x:c r="U252" s="7" t="str">
        <x:v>This article critically reviews processes creating hiatuses in cold-water coral mounds, including mass wasting, non-deposition, and winnowing. It is a substantive synthesis directly focused on sedimentary dynamics affecting cold-water coral habitats and their stratigraphic records. The review has clear potential to inform sediment exposure, mound vulnerability, and interpretation of coral records. It meets B02 as a deep/cold coral review with a direct sediment-impact focus. The closest alternative would be exclusion as physical sedimentology, but the explicit focus on coral mounds and their formation makes it eligible under B02.</x:v>
      </x:c>
      <x:c r="V252" s="7" t="str">
        <x:v>ALL_VERIFIED_CENTRAL_PEER_REVIEWED</x:v>
      </x:c>
      <x:c r="W252" s="7" t="str">
        <x:v>TBV1-0028</x:v>
      </x:c>
    </x:row>
    <x:row r="253" ht="42" customHeight="1">
      <x:c r="A253" s="17" t="str">
        <x:v>B</x:v>
      </x:c>
      <x:c r="B253" s="7" t="str">
        <x:v>CWC-42A1E5ADA14C</x:v>
      </x:c>
      <x:c r="C253" s="7" t="str">
        <x:v>Unusual shallow water Devonian coral community from Queensland and its recent analogues from the inshore Great Barrier Reef</x:v>
      </x:c>
      <x:c r="D253" s="7" t="str">
        <x:v>Mikołaj K. Zapalski | Andrew H. Baird | Tom C. L. Bridge | Michał Jakubowicz | James Daniell</x:v>
      </x:c>
      <x:c r="E253" s="11" t="str">
        <x:v>2021</x:v>
      </x:c>
      <x:c r="F253" s="7" t="str">
        <x:v>Coral Reefs</x:v>
      </x:c>
      <x:c r="G253" s="7" t="str">
        <x:v>article</x:v>
      </x:c>
      <x:c r="H253" s="7" t="str">
        <x:v>10.1007/s00338-020-02048-9</x:v>
      </x:c>
      <x:c r="I253" s="7" t="str">
        <x:v>https://doi.org/10.1007/s00338-020-02048-9</x:v>
      </x:c>
      <x:c r="J253" s="7" t="str">
        <x:v>Abstract Palaeozoic coral communities were dominated by two extinct coral groups: Tabulata and Rugosa. Whilst they are not closely related to modern Scleractinia, they are morphologically convergent, displaying many morphological characters that allow comparisons between recent and ancient coral reef communities. The extensive shallow-water reef communities of the Devonian were generally dominated by stromatoporoid sponges, with corals occupying deeper environments. Here, we describe an unusual, shallow water coral reef community from the Middle Devonian (Givetian, approx. 385 Ma) of the Fanning River area, Queensland, Australia. The coral community is dominated by tabulate corals, but also includes solitary and occasionally colonial rugose corals. Tabulate corals most commonly exhibit foliose and massive morphologies, but encrusting and branching growth forms also occur. The depositional environment was characterized by a shallow water depth, moderate hydrodynamic energy, high sedimentation rate, and high turbidity. Since these environmental factors influence the morphological composition of modern coral communities, we hypothesize that similar environments may result in morphologically equivalent coral assemblages throughout the Phanerozoic. To test this idea, we qualitatively compare the Fanning River reefs with modern scleractinian coral assemblages in a similar environmental setting at Magnetic Island. Both reefs are located in a shallow water less than 10 m deep, with high sediment flux, moderate wave energy, and generally high turbidity. Like Fanning River, Magnetic Island coral communities are dominated by foliose morphologies, with contributions from massive and branching forms. The Fanning River reef, together with previously identified Silurian and Devonian mesophotic coral ecosystems, suggest that Palaeozoic coral assemblages may share many functional characteristics with modern scleractinian reefs in similar environments. Therefore, the geological record of inshore, high turbidity-adapted coral communities can be traced back as far as 385 Ma.</x:v>
      </x:c>
      <x:c r="K253" s="11" t="str">
        <x:v>YES</x:v>
      </x:c>
      <x:c r="L253" s="7" t="str">
        <x:v>FROZEN_PUBLIC_FULL_TEXT_LOCATION</x:v>
      </x:c>
      <x:c r="M253" s="7" t="str">
        <x:v>https://link.springer.com/content/pdf/10.1007/s00338-020-02048-9.pdf</x:v>
      </x:c>
      <x:c r="N253" s="7" t="str">
        <x:v>VERIFIED_DOI_DOCUMENT</x:v>
      </x:c>
      <x:c r="O253" s="7" t="str">
        <x:v>B04_TROPICAL_PHYSICAL_SEDIMENT_ANALOGUE</x:v>
      </x:c>
      <x:c r="P253" s="11" t="str">
        <x:v>HIGH</x:v>
      </x:c>
      <x:c r="Q253" s="7" t="str">
        <x:v>Devonian tabulate and rugose corals; modern scleractinian corals at Magnetic Island (inshore Great Barrier Reef).</x:v>
      </x:c>
      <x:c r="R253" s="7" t="str">
        <x:v>High sedimentation rate, high turbidity, high sediment flux, moderate wave energy in shallow water (&lt;10 m).</x:v>
      </x:c>
      <x:c r="S253" s="7" t="str">
        <x:v>Coral community morphological composition dominated by foliose morphologies, with massive and branching forms; qualitative comparison of morphological convergence under high turbidity conditions.</x:v>
      </x:c>
      <x:c r="T253" s="7" t="str">
        <x:v>Meets B04 as a tropical coral study with direct relevance to physical sediment exposure (high turbidity, sedimentation) and biological response (morphological adaptation/community structure). The study explicitly links sediment regime to coral morphology in both ancient and modern analogues.</x:v>
      </x:c>
      <x:c r="U253" s="7" t="str">
        <x:v>The study examines an unusual shallow-water Devonian coral community characterized by high sedimentation and turbidity, and compares it to modern scleractinian assemblages at Magnetic Island (inshore Great Barrier Reef) under similar high-sediment, high-turbidity conditions. The organism evidence includes ancient Tabulata/Rugosa and modern Scleractinia. The sediment pathway is explicit: high sedimentation rate, turbidity, and sediment flux. The biological response is community morphological composition, with foliose morphologies dominant under turbid conditions. This is a clearly relevant response under B04_TROPICAL_PHYSICAL_SEDIMENT_ANALOGUE. It is not merely a mention of sediment; the paper directly addresses sediment regime as a driver of coral morphology and provides comparative evidence across time. Exclusions are not appropriate because coral evidence and sediment pathway are central. The closest alternative would be CHAIN_ONLY, but the abstract provides enough direct content for inclusion.</x:v>
      </x:c>
      <x:c r="V253" s="7" t="str">
        <x:v>SPARING_TOP_25_TROPICAL_DIRECT_PHYSICAL_ANALOGUES</x:v>
      </x:c>
      <x:c r="W253" s="7" t="str">
        <x:v>TBV1-1226</x:v>
      </x:c>
    </x:row>
    <x:row r="254" ht="42" customHeight="1">
      <x:c r="A254" s="17" t="str">
        <x:v>B</x:v>
      </x:c>
      <x:c r="B254" s="7" t="str">
        <x:v>CWC-F44066254E0A</x:v>
      </x:c>
      <x:c r="C254" s="7" t="str">
        <x:v>Validation of Numerical Model for Simulation of Drilling Discharges to Sea</x:v>
      </x:c>
      <x:c r="D254" s="7" t="str">
        <x:v>Henrik Rye | Edgar Furuholt</x:v>
      </x:c>
      <x:c r="E254" s="11" t="str">
        <x:v>2010</x:v>
      </x:c>
      <x:c r="F254" s="7" t="str">
        <x:v>Abu Dhabi International Petroleum Exhibition and Conference</x:v>
      </x:c>
      <x:c r="G254" s="7" t="str">
        <x:v>conference-paper</x:v>
      </x:c>
      <x:c r="H254" s="7" t="str">
        <x:v>10.2118/137348-ms</x:v>
      </x:c>
      <x:c r="I254" s="7" t="str">
        <x:v>https://doi.org/10.2118/137348-ms</x:v>
      </x:c>
      <x:c r="J254" s="7" t="str">
        <x:v>Abstract The site survey for the location of the Trolla exploration well in the Norwegian Sea revealed numerous potential locations of cold water corals. These corals are expected to be vulnerable for sedimentation of particles and exposure to chemicals from drill cuttings and drilling fluids. How vulnerable they are for these disturbances is, however, not well known. Numerical simulations were performed to predict spreading of drill cuttings and drilling fluids, including concentrations in the water column and sedimentation on the seabed. A monitoring program was also conducted, comprising cuttings particle size measurements, current measurements, sediment traps collecting depositing particles, sediment sampling, turbidity measurements and video observations. The monitoring program gave the possibility to compare results from the numerical model with observed deposition of drill cuttings. The simulation results showed good correspondence with the contents in the sediment traps, supporting the validity of the numerical model.</x:v>
      </x:c>
      <x:c r="K254" s="11" t="str">
        <x:v>NO</x:v>
      </x:c>
      <x:c r="L254" s="7" t="str">
        <x:v>NOT_CONFIRMED</x:v>
      </x:c>
      <x:c r="M254" s="7" t="str"/>
      <x:c r="N254" s="7" t="str">
        <x:v>VERIFIED_DOI_DOCUMENT</x:v>
      </x:c>
      <x:c r="O254" s="7" t="str">
        <x:v>B01_DEEP_COLD_SEDIMENT_EVIDENCE</x:v>
      </x:c>
      <x:c r="P254" s="11" t="str">
        <x:v>HIGH</x:v>
      </x:c>
      <x:c r="Q254" s="7" t="str">
        <x:v>Cold water corals in the Norwegian Sea near the Trolla exploration well.</x:v>
      </x:c>
      <x:c r="R254" s="7" t="str">
        <x:v>Drill cuttings and drilling fluids, including sedimentation, suspended particles, and turbidity.</x:v>
      </x:c>
      <x:c r="S254" s="7" t="str">
        <x:v>Monitoring program with sediment traps, turbidity measurements, and video observations; model validation against observed deposition to assess coral vulnerability.</x:v>
      </x:c>
      <x:c r="T254" s="7" t="str">
        <x:v>Explicit deep/cold-water coral context and explicit sediment pathway (drilling discharges); monitoring and impact assessment evidence supports inclusion under B01.</x:v>
      </x:c>
      <x:c r="U254" s="7" t="str">
        <x:v>This conference paper directly addresses cold-water coral vulnerability to sedimentation from drilling discharges. It presents numerical model validation supported by a monitoring program measuring sediment deposition and turbidity. This constitutes substantive monitoring and impact evidence for corals under B01_DEEP_COLD_SEDIMENT_EVIDENCE. The closest alternative is B02 (review/assessment), but B01 is more appropriate because the document presents primary monitoring/modeling evidence rather than a synthesis. CHAIN_ONLY is not chosen because direct coral-sediment monitoring evidence is present. Access status does not affect eligibility.</x:v>
      </x:c>
      <x:c r="V254" s="7" t="str">
        <x:v>ALL_VERIFIED_NON_TROPICAL_TIER_B_INCLUSIONS</x:v>
      </x:c>
      <x:c r="W254" s="7" t="str">
        <x:v>TBV1-0112</x:v>
      </x:c>
    </x:row>
    <x:row r="255" ht="42" customHeight="1">
      <x:c r="A255" s="17" t="str">
        <x:v>B</x:v>
      </x:c>
      <x:c r="B255" s="7" t="str">
        <x:v>CWC-FF10DA027731</x:v>
      </x:c>
      <x:c r="C255" s="7" t="str">
        <x:v>Variability of cold‐water coral mounds in a high sediment input and tidal current regime, Straits of Florida</x:v>
      </x:c>
      <x:c r="D255" s="7" t="str">
        <x:v>Thiago B.S. Correa | M. Grasmueck | Gregor P. Eberli | John K. Reed | Klaas Verwer | Sam J. Purkis</x:v>
      </x:c>
      <x:c r="E255" s="11" t="str">
        <x:v>2011</x:v>
      </x:c>
      <x:c r="F255" s="7" t="str">
        <x:v>Sedimentology</x:v>
      </x:c>
      <x:c r="G255" s="7" t="str">
        <x:v>article</x:v>
      </x:c>
      <x:c r="H255" s="7" t="str">
        <x:v>10.1111/j.1365-3091.2011.01306.x</x:v>
      </x:c>
      <x:c r="I255" s="7" t="str">
        <x:v>https://doi.org/10.1111/j.1365-3091.2011.01306.x</x:v>
      </x:c>
      <x:c r="J255" s="7" t="str">
        <x:v>Abstract Cold‐water coral mound morphology and development are thought to be controlled primarily by current regime. This study, however, reveals a general lack of correlation between prevailing bottom current direction and mound morphology (i.e. footprint shape and orientation), as well as current strength and mound size (i.e. footprint area and height). These findings are based on quantitative analyses of a high‐resolution geophysical dataset collected with an Autonomous Underwater Vehicle from three cold‐water coral mound sites at the toe of slope of Great Bahama Bank. The three sites (80 km 2 total) have an average of 14 mounds km −2 , indicating that the Great Bahama Bank slope is a major coral mound region. At all three sites living coral colonies are observed on the surface of the mounds, documenting active mound growth. Morphometric analysis shows that mounds at these sites vary significantly in height (1 to 83 m), area (81 to 6 00 000 m 2 ), shape (mound aspect ratio 0·1 to 1) and orientation (mound longest axis 0 to 180°). The Autonomous Underwater Vehicle measured bottom current data depict a north–south flowing current that reverses approximately every six hours. The tidal nature of this current and its intermittent deviations during reversals are interpreted to contribute to the observed mound complexity. An additional factor contributing to the variability in mound morphometrics is the sediment deposition rate that varies among and within sites. At most locations sedimentation rate lags slightly behind mound growth rate, causing mounds to develop into large structures. Where sedimentation rates are higher than mound growth rates, sediment partially or completely buries mounds. The spatial distribution and alignment of mounds can also be related to gravity mass deposits, as indicated by geomorphological features (for example, slope failure and linear topographic highs) in the three‐dimensional bathymetry. In summary, variability in sedimentation rates, current regime and underlying topography produce extraordinarily high variability in the distribution, development and morphology of coral mounds on the Great Bahama Bank slope.</x:v>
      </x:c>
      <x:c r="K255" s="11" t="str">
        <x:v>NO</x:v>
      </x:c>
      <x:c r="L255" s="7" t="str">
        <x:v>NOT_CONFIRMED</x:v>
      </x:c>
      <x:c r="M255" s="7" t="str"/>
      <x:c r="N255" s="7" t="str">
        <x:v>VERIFIED_DOI_DOCUMENT</x:v>
      </x:c>
      <x:c r="O255" s="7" t="str">
        <x:v>B01_DEEP_COLD_SEDIMENT_EVIDENCE</x:v>
      </x:c>
      <x:c r="P255" s="11" t="str">
        <x:v>MEDIUM</x:v>
      </x:c>
      <x:c r="Q255" s="7" t="str">
        <x:v>Cold-water corals and coral mounds at Great Bahama Bank slope; living coral colonies observed on mound surfaces.</x:v>
      </x:c>
      <x:c r="R255" s="7" t="str">
        <x:v>High sediment input and variable sedimentation rates; burial by sediment where rates exceed mound growth; tidal current regime.</x:v>
      </x:c>
      <x:c r="S255" s="7" t="str">
        <x:v>Mound development, morphology, and growth vs. burial status; living colonies indicate active growth, while high sedimentation leads to partial or complete burial.</x:v>
      </x:c>
      <x:c r="T255" s="7" t="str">
        <x:v>B01 deep-cold sediment evidence: explicit sediment deposition/burial pathway with indirect biological/ecological condition evidence (active growth vs. burial).</x:v>
      </x:c>
      <x:c r="U255" s="7" t="str">
        <x:v>The record is a deep-sea cold-water coral mound study in a high-sediment, tidal-current setting. It explicitly examines sediment deposition rates and current regime as controls on mound development, showing that where sedimentation exceeds mound growth, mounds are partially or completely buried, while living coral colonies document active growth elsewhere. This provides indirect biological/ecological evidence of sediment effects on cold-water corals, qualifying under B01. Although primarily geological, the direct linkage between sedimentation and mound condition (growth/burial) with observed living corals meets the broader Tier B standard. It is preferred over CHAIN_ONLY because sediment-corals response content is present, and over EXCLUDE because the study does address sediment deposition impacts on coral mound condition.</x:v>
      </x:c>
      <x:c r="V255" s="7" t="str">
        <x:v>ALL_VERIFIED_CENTRAL_PEER_REVIEWED</x:v>
      </x:c>
      <x:c r="W255" s="7" t="str">
        <x:v>TBV1-0008</x:v>
      </x:c>
    </x:row>
    <x:row r="256" ht="42" customHeight="1">
      <x:c r="A256" s="17" t="str">
        <x:v>B</x:v>
      </x:c>
      <x:c r="B256" s="7" t="str">
        <x:v>CWC-A4B4BC56952A</x:v>
      </x:c>
      <x:c r="C256" s="7" t="str">
        <x:v>Water-mass dynamics of an Arctic cold-water coral reef: First results from a new ocean observatory system</x:v>
      </x:c>
      <x:c r="D256" s="7" t="str">
        <x:v>Sascha Flögel | Johannes Karstensen | Петер Линке | Olaf Pfannkuche | Kseniia Ashastina | Wolf‐Christian Dullo</x:v>
      </x:c>
      <x:c r="E256" s="11" t="str">
        <x:v>2015</x:v>
      </x:c>
      <x:c r="F256" s="7" t="str">
        <x:v>Helmholtz Centre for Ocean Research Kiel (GEOMAR)</x:v>
      </x:c>
      <x:c r="G256" s="7" t="str">
        <x:v>conference-paper</x:v>
      </x:c>
      <x:c r="H256" s="7" t="str"/>
      <x:c r="I256" s="7" t="str">
        <x:v>http://oceanrep.geomar.de/30769/</x:v>
      </x:c>
      <x:c r="J256" s="7" t="str">
        <x:v>Cold-water coral reefs occur at various sites along the European continental margin, like in the Mediterranean Sea, on carbonate mounds West off Ireland, or at shallower depths between 100 and 350 m on the Norwegian shelf. Their occurrence is related to different physical parameters like temperature, salinity, seawater density, dissolved oxygen, and to other environmental parameters such as internal wave activity, nutrient supply, strong currents, which keep sediment input low, etc. Here, we present first results from a long-term observation in one of the nortnermost cold-water coral reefs at 70.5°N - the Stjernsund in northern Norway. The Stjernsund is a 30 km long and up to 3.5 km wide sound connecting the open North Atlantic with a fjord system. A deep-seated SW-NE oriented morainic sill with varying depths (203-236 m) splits the more than 400 m deep sound into two troughs. Living Lophelia pertusa dominated reef complexes occur on the NW slope between 235 and 305 m water depths and on the SE slope between 245 and 280 m. To investigate the dominating physical and biogeochemical boundary conditions a new modular seafloor observatory, MoLab, consisting of five sea-floor observatories and two moorings was deployed for 100 days during the summer of 2012. The various lander systems and moorimgs were equipped with sensors to measure current velocities and directions, temperature, salinity, pressure, pH, turbidity, fluorescence, oxygen concentration and saturation. Results showed that near-bottom salinities, temperature and current velocities are dominated by a semi-diurnal tidal forcing (pronounced M2 constituent), which cause vertical water mass movements of up to 100 m. These influence large parts of the living reef. Closer examination revealed overturning cells on the south-eastern slope of the sill during high tide, when Atlantic Water flows over the sill. The appearance of living cold-water corals is limited to a density envelope of sigma-theta=27.25-27.50 kg/m-3, which marks the boundary between Norwegian Coastal Water and Atlantic Water. Globally, Lophelia pertusa lives in waters covering a wide range of physical and biogeochemical parameters. This new data sets indicates parameter ranges, of e.g. current velocities (15-30 cm/s), temperature (6.0-6.8°C) and salinity (34.1-34.8), pH (8.22-7.39), turbidity (0.1-0.9 NTU), and oxygen concentration (300-339 μM) that are in agreement with other cold-water coral reefs in the NE Atlantic. The overall circulation depicts a complex dynamic system with pronounced differences not only vertically, but also important horizontal changes on top of the sill.</x:v>
      </x:c>
      <x:c r="K256" s="11" t="str">
        <x:v>NO</x:v>
      </x:c>
      <x:c r="L256" s="7" t="str">
        <x:v>NOT_CONFIRMED</x:v>
      </x:c>
      <x:c r="M256" s="7" t="str"/>
      <x:c r="N256" s="7" t="str">
        <x:v>VERIFIED_BIBLIOGRAPHIC_DOCUMENT</x:v>
      </x:c>
      <x:c r="O256" s="7" t="str">
        <x:v>B01_DEEP_COLD_SEDIMENT_EVIDENCE</x:v>
      </x:c>
      <x:c r="P256" s="11" t="str">
        <x:v>HIGH</x:v>
      </x:c>
      <x:c r="Q256" s="7" t="str">
        <x:v>Cold-water coral Lophelia pertusa reef in the Arctic Stjernsund</x:v>
      </x:c>
      <x:c r="R256" s="7" t="str">
        <x:v>Turbidity (0.1-0.9 NTU) and low sediment input maintained by strong currents</x:v>
      </x:c>
      <x:c r="S256" s="7" t="str">
        <x:v>Living coral occurrence limited to a turbidity range; environmental monitoring of reef conditions</x:v>
      </x:c>
      <x:c r="T256" s="7" t="str">
        <x:v>B01: deep/cold-water coral source with an explicit turbidity (suspended particle) pathway and biological condition/threshold evidence</x:v>
      </x:c>
      <x:c r="U256" s="7" t="str">
        <x:v>The abstract describes an ocean observatory monitoring an Arctic cold-water coral reef (Lophelia pertusa) and reports turbidity values (0.1-0.9 NTU) as part of the environmental envelope for living corals. It also links strong currents to keeping sediment input low, indicating sediment control on reef occurrence. This is explicit turbidity/sediment pathway evidence with biological condition thresholds for a cold-water coral, meeting B01.</x:v>
      </x:c>
      <x:c r="V256" s="7" t="str">
        <x:v>ALL_VERIFIED_NON_TROPICAL_TIER_B_INCLUSIONS</x:v>
      </x:c>
      <x:c r="W256" s="7" t="str">
        <x:v>TBV1-0093</x:v>
      </x:c>
    </x:row>
    <x:row r="257" ht="42" customHeight="1">
      <x:c r="A257" s="17" t="str">
        <x:v>B</x:v>
      </x:c>
      <x:c r="B257" s="7" t="str">
        <x:v>CWC-E7DDC7852047</x:v>
      </x:c>
      <x:c r="C257" s="7" t="str">
        <x:v>West Flemish Pass Exploration Drilling Project</x:v>
      </x:c>
      <x:c r="D257" s="7" t="str"/>
      <x:c r="E257" s="11" t="str"/>
      <x:c r="F257" s="7" t="str">
        <x:v>Impact Assessment Agency of Canada</x:v>
      </x:c>
      <x:c r="G257" s="7" t="str">
        <x:v>regulator_assessment</x:v>
      </x:c>
      <x:c r="H257" s="7" t="str"/>
      <x:c r="I257" s="7" t="str">
        <x:v>https://iaac-aeic.gc.ca/050/documents/p80161/134673E.pdf</x:v>
      </x:c>
      <x:c r="J257" s="7" t="str">
        <x:v>offshore have noted that some species may be more susceptible to shallower burial depths and a more conservative PNET of 1.5 millimetres has been applied. Update the discussion of potential effects of drill wastes on corals and sponges to include a 1.5 mm threshold or provide a rationale as to why the burial threshold of 6.5 millimeters is sufficient. West Flemish Pass Exploration Drilling Project – Information Requirements Table ID Reference to EIS Context and Rationale Specific Question/ [...] Specific Question/ Information Requirement Section 15.5.1.3.3 SBM Spill from the MODU and the Marin</x:v>
      </x:c>
      <x:c r="K257" s="11" t="str">
        <x:v>YES</x:v>
      </x:c>
      <x:c r="L257" s="7" t="str">
        <x:v>FROZEN_PUBLIC_FULL_TEXT_LOCATION</x:v>
      </x:c>
      <x:c r="M257" s="7" t="str">
        <x:v>https://iaac-aeic.gc.ca/050/documents/p80161/134673E.pdf</x:v>
      </x:c>
      <x:c r="N257" s="7" t="str">
        <x:v>VERIFIED_DIRECT_DOCUMENT_URL</x:v>
      </x:c>
      <x:c r="O257" s="7" t="str">
        <x:v>B02_DEEP_COLD_REVIEW_ASSESSMENT</x:v>
      </x:c>
      <x:c r="P257" s="11" t="str">
        <x:v>HIGH</x:v>
      </x:c>
      <x:c r="Q257" s="7" t="str">
        <x:v>Corals and sponges (deep/cold-water, offshore West Flemish Pass)</x:v>
      </x:c>
      <x:c r="R257" s="7" t="str">
        <x:v>Drill wastes and burial; discussion of burial thresholds (1.5 mm and 6.5 mm)</x:v>
      </x:c>
      <x:c r="S257" s="7" t="str">
        <x:v>Assessment of potential effects of drill wastes on corals and sponges; includes PNET of 1.5 mm and question of whether 6.5 mm threshold is sufficient</x:v>
      </x:c>
      <x:c r="T257" s="7" t="str">
        <x:v>Regulatory assessment (Impact Assessment Agency of Canada) with direct sediment-impact focus on corals and sponges, providing threshold and impact assessment information.</x:v>
      </x:c>
      <x:c r="U257" s="7" t="str">
        <x:v>The document is a regulatory assessment from the Impact Assessment Agency of Canada concerning the West Flemish Pass Exploration Drilling Project. The supplied snippet explicitly discusses potential effects of drill wastes on corals and sponges, including burial thresholds (1.5 mm and 6.5 mm). This is a substantive government assessment with a direct sediment-impact focus, satisfying B02. It is not merely a chain-only record because it contains direct coral/sponge sediment-effects content. It is preferable to B01 because it is an assessment document rather than primary evidence. Confidence high because the snippet clearly indicates relevance.</x:v>
      </x:c>
      <x:c r="V257" s="7" t="str">
        <x:v>ALL_VERIFIED_NON_TROPICAL_TIER_B_INCLUSIONS</x:v>
      </x:c>
      <x:c r="W257" s="7" t="str">
        <x:v>TBV1-0246</x:v>
      </x:c>
    </x:row>
    <x:row r="258" ht="42" customHeight="1">
      <x:c r="A258" s="17" t="str">
        <x:v>B</x:v>
      </x:c>
      <x:c r="B258" s="7" t="str">
        <x:v>GLV4-2A7AD7BF4F7F</x:v>
      </x:c>
      <x:c r="C258" s="7" t="str">
        <x:v>West of Scotland MPA: Fisheries Management Options Paper - JNCC</x:v>
      </x:c>
      <x:c r="D258" s="7" t="str"/>
      <x:c r="E258" s="11" t="str"/>
      <x:c r="F258" s="7" t="str">
        <x:v>data.jncc.gov.uk</x:v>
      </x:c>
      <x:c r="G258" s="7" t="str">
        <x:v>report</x:v>
      </x:c>
      <x:c r="H258" s="7" t="str"/>
      <x:c r="I258" s="7" t="str">
        <x:v>https://data.jncc.gov.uk/data/37955242-d60b-4494-8e2c-94e93fb0de6f/west-of-scotland-management-options-paper.pdf</x:v>
      </x:c>
      <x:c r="J258" s="7" t="str">
        <x:v>affect the extent and distribution of Seamount community features, as well as their structure and function. Deep-sea sponge aggregations are highly sensitive to bycatch, abrasion, and penetration pressures (Dinwoodie, 2021a, 2021b, Last et al. 2019a, 2019b). Studies on Deep-sea sponge aggregations have found that trawling damages, displaces and removes sponges through direct physical impact, as well as from disturbed sediment resettling and causing smothering beyond the path of the trawl itself (Buhl-Mortensen et al. 2016; ICES, 2007, 2010; Kędra et al. 2017; OSPAR, 2010a). Deep-sea sponges ha</x:v>
      </x:c>
      <x:c r="K258" s="11" t="str">
        <x:v>YES</x:v>
      </x:c>
      <x:c r="L258" s="7" t="str">
        <x:v>PUBLIC_FULL_DOCUMENT_LOCATION</x:v>
      </x:c>
      <x:c r="M258" s="7" t="str">
        <x:v>https://data.jncc.gov.uk/data/37955242-d60b-4494-8e2c-94e93fb0de6f/west-of-scotland-management-options-paper.pdf</x:v>
      </x:c>
      <x:c r="N258" s="7" t="str">
        <x:v>VERIFIED_DIRECT_DOCUMENT_URL</x:v>
      </x:c>
      <x:c r="O258" s="7" t="str">
        <x:v>B02_DEEP_COLD_REVIEW_ASSESSMENT</x:v>
      </x:c>
      <x:c r="P258" s="11" t="str">
        <x:v>HIGH</x:v>
      </x:c>
      <x:c r="Q258" s="7" t="str">
        <x:v>Deep-sea sponge aggregations and seamount community features in the West of Scotland MPA.</x:v>
      </x:c>
      <x:c r="R258" s="7" t="str">
        <x:v>Trawling physical impact; disturbed sediment resettling causing smothering beyond the trawl path.</x:v>
      </x:c>
      <x:c r="S258" s="7" t="str">
        <x:v>Assesses sensitivity of deep-sea sponge aggregations to fishing pressures, including sediment smothering; provides management options for MPA fisheries.</x:v>
      </x:c>
      <x:c r="T258" s="7" t="str">
        <x:v>Substantive government management/assessment report with direct sediment-impact focus on deep-sea sponges, qualifying under B02.</x:v>
      </x:c>
      <x:c r="U258" s="7" t="str">
        <x:v>This is a JNCC fisheries management options paper for the West of Scotland MPA. The supplied snippet explicitly identifies deep-sea sponge aggregations as sensitive to bycatch, abrasion, and penetration, and states that trawling damages, displaces, and removes sponges through direct physical impact as well as through disturbed sediment resettling and smothering beyond the trawl path. This is a substantive regulatory/management assessment with a clear sediment-impact pathway relevant to cold-water sponges, fitting B02. It is not a mere discovery page or news item. The evidence directly informs impact, exposure, and mitigation for deep-sea sponge features. The closest alternative, B01, would apply to primary evidence, but this is a review/assessment document, making B02 more appropriate.</x:v>
      </x:c>
      <x:c r="V258" s="7" t="str">
        <x:v>ALL_VERIFIED_NON_TROPICAL_TIER_B_INCLUSIONS</x:v>
      </x:c>
      <x:c r="W258" s="7" t="str">
        <x:v>TBV1-0522</x:v>
      </x:c>
    </x:row>
    <x:row r="259" ht="42" customHeight="1">
      <x:c r="A259" s="17" t="str">
        <x:v>B</x:v>
      </x:c>
      <x:c r="B259" s="7" t="str">
        <x:v>CWC-37F88897C373</x:v>
      </x:c>
      <x:c r="C259" s="7" t="str">
        <x:v>Will Drill Cuttings and Drill Mud Harm Cold Water Corals?</x:v>
      </x:c>
      <x:c r="D259" s="7" t="str">
        <x:v>Kjell Andreas Jødestøl | Edgar Furuholt</x:v>
      </x:c>
      <x:c r="E259" s="11" t="str">
        <x:v>2010</x:v>
      </x:c>
      <x:c r="F259" s="7" t="str">
        <x:v>SPE International Conference on Health, Safety and Environment in Oil and Gas Exploration and Production</x:v>
      </x:c>
      <x:c r="G259" s="7" t="str">
        <x:v>conference-paper</x:v>
      </x:c>
      <x:c r="H259" s="7" t="str">
        <x:v>10.2118/126468-ms</x:v>
      </x:c>
      <x:c r="I259" s="7" t="str">
        <x:v>https://doi.org/10.2118/126468-ms</x:v>
      </x:c>
      <x:c r="J259" s="7" t="str">
        <x:v>Abstract Cold water corals, e.g. Lophelia pertusa and Paragorgia arborea, are found in several places in the Norwegian Sea where oil exploration and production activities are going on. The corals are expected to be vulnerable for sedimentation of particles and exposure to chemicals from drilling activities (drill cuttings and drilling mud) and for physical damage from e.g. anchor lines. How vulnerable they are for these disturbances is, however, not well known. Oil and gas licences licenses in the area are therefore obligated to map possible corals and to take measures to avoid harming them. These obligations have been strengthened in the Integrated Management Plan for the Norwegian Sea approved by the Norwegian Parliament in May 2009. Det norske oljeselskap has in 2009 drilled 4 exploration wells in the Norwegian Sea and carried out a number of activities to map corals, study the effects of drill cuttings and drilling mud, and apply technical and operational measures to reduce the effects. This includes: Mapping of corals around the drill site by use of side scan sonar, multibeam echo sounder and ROV mounted camera/videoMeasurement of particle size distributions in the discharges of cuttings and drilling mudComputer simulation of sea bed currents and sedimentation of discharged particlesAnalyses of particles from sediment traps and sea bottom core samples close to the drill site for verification of simulation models and evaluation of effects on coralsCamera observation of corals before and after the drilling operationRecovery of all cuttings (also from the top hole) to the rig for possible disposal away from corals. Our experience shows that technology is available to handle drill cuttings and mud and control the discharges and spreading to avoid harming corals and other sensitive resources.</x:v>
      </x:c>
      <x:c r="K259" s="11" t="str">
        <x:v>NO</x:v>
      </x:c>
      <x:c r="L259" s="7" t="str">
        <x:v>NOT_CONFIRMED</x:v>
      </x:c>
      <x:c r="M259" s="7" t="str"/>
      <x:c r="N259" s="7" t="str">
        <x:v>VERIFIED_DOI_DOCUMENT</x:v>
      </x:c>
      <x:c r="O259" s="7" t="str">
        <x:v>B01_DEEP_COLD_SEDIMENT_EVIDENCE</x:v>
      </x:c>
      <x:c r="P259" s="11" t="str">
        <x:v>HIGH</x:v>
      </x:c>
      <x:c r="Q259" s="7" t="str">
        <x:v>Cold-water corals: Lophelia pertusa and Paragorgia arborea.</x:v>
      </x:c>
      <x:c r="R259" s="7" t="str">
        <x:v>Drill cuttings and drilling mud from oil and gas exploration, leading to sedimentation of particles; also mention of discharges and sedimentation.</x:v>
      </x:c>
      <x:c r="S259" s="7" t="str">
        <x:v>The paper describes mapping of corals, measurement of particle size distributions, computer simulation of sea bed currents and sedimentation, analyses of sediment traps and core samples for verification, camera observation before and after drilling, and recovery of all cuttings to avoid harming corals; thus monitoring and impact assessment evidence for coral vulnerability to sedimentation.</x:v>
      </x:c>
      <x:c r="T259" s="7" t="str">
        <x:v>B01_DEEP_COLD_SEDIMENT_EVIDENCE - A cold-water coral source (Lophelia pertusa, Paragorgia arborea) explicitly addressing drill cuttings/mud sedimentation and reporting monitoring, assessment, and operational measures related to coral impacts.</x:v>
      </x:c>
      <x:c r="U259" s="7" t="str">
        <x:v>This conference paper directly addresses effects of drill cuttings and drilling mud on cold-water corals in the Norwegian Sea. The organisms are explicit (Lophelia pertusa, Paragorgia arborea) and the sediment pathway is explicit (drill cuttings, mud, sedimentation of discharged particles). The paper reports multiple lines of assessment evidence: coral mapping, particle size analysis, sedimentation modeling, sediment trap/core verification, and before/after camera observation. This constitutes monitoring/impact evidence for coral vulnerability, even if not reporting a strict quantitative response threshold. It therefore qualifies under B01. The closest alternative would be exclusion for lacking detailed biological response, but the monitoring and operational mitigation data provide substantive assessment value. B02 is less appropriate because this is a case-study paper rather than a review or regulatory assessment.</x:v>
      </x:c>
      <x:c r="V259" s="7" t="str">
        <x:v>ALL_VERIFIED_NON_TROPICAL_TIER_B_INCLUSIONS</x:v>
      </x:c>
      <x:c r="W259" s="7" t="str">
        <x:v>TBV1-0009</x:v>
      </x:c>
    </x:row>
    <x:row r="260" ht="42" customHeight="1">
      <x:c r="A260" s="17" t="str">
        <x:v>B</x:v>
      </x:c>
      <x:c r="B260" s="7" t="str">
        <x:v>CWC-F020341AAC3E</x:v>
      </x:c>
      <x:c r="C260" s="7" t="str">
        <x:v>Will Drill Cuttings and Drill Mud Harm Cold Water Corals?</x:v>
      </x:c>
      <x:c r="D260" s="7" t="str">
        <x:v>Kjell Jodestol</x:v>
      </x:c>
      <x:c r="E260" s="11" t="str">
        <x:v>2010</x:v>
      </x:c>
      <x:c r="F260" s="7" t="str">
        <x:v>Proceedings of SPE International Conference on Health, Safety, and Environment in Oil and Gas Exploration and Production</x:v>
      </x:c>
      <x:c r="G260" s="7" t="str">
        <x:v>conference-paper</x:v>
      </x:c>
      <x:c r="H260" s="7" t="str">
        <x:v>10.2523/126468-ms</x:v>
      </x:c>
      <x:c r="I260" s="7" t="str">
        <x:v>https://doi.org/10.2523/126468-ms</x:v>
      </x:c>
      <x:c r="J260" s="7" t="str">
        <x:v>Will Drill Cuttings and Drill Mud Harm Cold Water Corals? Kjell Jødestøl; Kjell Jødestøl Det norske oljeselskap ASA Search for other works by this author on: This Site Google Scholar Edgar Furuholt Edgar Furuholt Det norske oljeselskap ASA Search for other works by this author on: This Site Google Scholar Paper presented at the SPE International Conference on Health, Safety and Environment in Oil and Gas Exploration and Production, Rio de Janeiro, Brazil, April 2010. Paper Number: SPE-126468-MS https://doi.org/10.2118/126468-MS Published: April 12 2010 Cite View This Citation Add to Citation Manager Share Icon Share Twitter LinkedIn Get Permissions Search Site Citation Jødestøl, Kjell , and Edgar Furuholt. "Will Drill Cuttings and Drill Mud Harm Cold Water Corals?." Paper presented at the SPE International Conference on Health, Safety and Environment in Oil and Gas Exploration and Production, Rio de Janeiro, Brazil, April 2010. doi: https://doi.org/10.2118/126468-MS Download citation file: Ris (Zotero) Reference Manager EasyBib Bookends Mendeley Papers EndNote RefWorks BibTex Search Dropdown Menu nav search search input Search input auto suggest search filter All ContentAll ProceedingsSociety of Petroleum Engineers (SPE)SPE International Conference and Exhibition on Health, Safety, Environment, and Sustainability Search Advanced Search Abstract Cold water corals, e.g. Lophelia pertusa and Paragorgia arborea, are found in several places in the Norwegian Sea where oil exploration and production activities are going on. The corals are expected to be vulnerable for sedimentation of particles and exposure to chemicals from drilling activities (drill cuttings and drilling mud) and for physical damage from e.g. anchor lines. How vulnerable they are for these disturbances is, however, not well known. Oil and gas licences licenses in the area are therefore obligated to map possible corals and to take measures to avoid harming them. These obligations have been strengthened in the Integrated Management Plan for the Norwegian Sea approved by the Norwegian Parliament in May 2009.Det norske oljeselskap has in 2009 drilled 4 exploration wells in the Norwegian Sea and carried out a number of activities to map corals, study the effects of drill cuttings and drilling mud, and apply technical and operational measures to reduce the effects. This includes: Mapping of corals around the drill site by use of side scan sonar, multibeam echo sounder and ROV mounted camera/videoMeasurement of particle size distributions in the discharges of cuttings and drilling mudComputer simulation of sea bed currents and sedimentation of discharged particlesAnalyses of particles from sediment traps and sea bottom core samples close to the drill site for verification of simulation models and evaluation of effects on coralsCamera observation of corals before and after the drilling operationRecovery of all cuttings (also from the top hole) to the rig for possible disposal away from corals.Our experience shows that technology is available to handle drill cuttings and mud and control the discharges and spreading to avoid harming corals and other sensitive resources. Keywords: coral location, drilling fluids and materials, discharge, simulation, rig, drilling fluid management &amp; disposal, particle size distribution, sedimentation, operation, norwegian sea Subjects: Drilling Fluids and Materials, Strategic Planning and Management, Drilling fluid management &amp; disposal, Cuttings transport, Exploration and appraisal strategies Copyright 2010, Society of Petroleum Engineers You can access this article if you purchase or spend a download.</x:v>
      </x:c>
      <x:c r="K260" s="11" t="str">
        <x:v>NO</x:v>
      </x:c>
      <x:c r="L260" s="7" t="str">
        <x:v>NOT_CONFIRMED</x:v>
      </x:c>
      <x:c r="M260" s="7" t="str"/>
      <x:c r="N260" s="7" t="str">
        <x:v>VERIFIED_DOI_DOCUMENT</x:v>
      </x:c>
      <x:c r="O260" s="7" t="str">
        <x:v>B01_DEEP_COLD_SEDIMENT_EVIDENCE</x:v>
      </x:c>
      <x:c r="P260" s="11" t="str">
        <x:v>HIGH</x:v>
      </x:c>
      <x:c r="Q260" s="7" t="str">
        <x:v>Cold-water corals: Lophelia pertusa and Paragorgia arborea in the Norwegian Sea.</x:v>
      </x:c>
      <x:c r="R260" s="7" t="str">
        <x:v>Explicit sediment pathway from drilling activities: drill cuttings and drilling mud, including particle sedimentation and potential chemical exposure; physical damage from anchor lines is secondary.</x:v>
      </x:c>
      <x:c r="S260" s="7" t="str">
        <x:v>Monitoring and assessment: coral mapping, before/after drilling camera observations, particle size distribution measurements, simulation of sedimentation, sediment trap and core sample analyses to evaluate effects on corals, and mitigation measures to avoid harm.</x:v>
      </x:c>
      <x:c r="T260" s="7" t="str">
        <x:v>B01: This conference paper directly addresses sediment-related effects (drill cuttings and mud) on deep/cold-water corals, providing monitoring and impact assessment evidence.</x:v>
      </x:c>
      <x:c r="U260" s="7" t="str">
        <x:v>This is a substantive SPE conference paper about potential harm from drill cuttings and drilling mud to cold-water corals (Lophelia pertusa, Paragorgia arborea). It describes efforts to map corals, study effects of sediment discharges, simulate particle sedimentation, and monitor corals before/after drilling, along with mitigation measures. This meets B01 as deep/cold sediment evidence with explicit sediment pathway and monitoring/impact context. It is not merely a discovery page or a study where sediment is incidental. B02 is less appropriate because it is a specific monitoring/assessment report rather than a broad review. Confidence is high based on the clear abstract content.</x:v>
      </x:c>
      <x:c r="V260" s="7" t="str">
        <x:v>ALL_VERIFIED_NON_TROPICAL_TIER_B_INCLUSIONS</x:v>
      </x:c>
      <x:c r="W260" s="7" t="str">
        <x:v>TBV1-0010</x:v>
      </x:c>
    </x:row>
    <x:row r="261" ht="42" customHeight="1">
      <x:c r="A261" s="17" t="str">
        <x:v>B</x:v>
      </x:c>
      <x:c r="B261" s="7" t="str">
        <x:v>CWC-0BE53F98D919</x:v>
      </x:c>
      <x:c r="C261" s="7" t="str">
        <x:v>Year-long benthic measurements of environmental conditions indicate high sponge biomass is related to strong bottom currents over the Northern Labrador shelf</x:v>
      </x:c>
      <x:c r="D261" s="7" t="str">
        <x:v>﻿Evert de Froe | Igor Yashayaev | Christian Mohn | Johanne Vad | Furu Mienis | Gerard Duineveld | Ellen Kenchington | Erica Head | Steve Ross | Sabena Blackbird | George A. Wolff | J. Murray Roberts | Barry MacDonald | Graham Tulloch | Dick van Oevelen</x:v>
      </x:c>
      <x:c r="E261" s="11" t="str">
        <x:v>2024</x:v>
      </x:c>
      <x:c r="F261" s="7" t="str"/>
      <x:c r="G261" s="7" t="str">
        <x:v>preprint</x:v>
      </x:c>
      <x:c r="H261" s="7" t="str">
        <x:v>10.31223/x58968</x:v>
      </x:c>
      <x:c r="I261" s="7" t="str">
        <x:v>https://doi.org/10.31223/x58968</x:v>
      </x:c>
      <x:c r="J261" s="7" t="str">
        <x:v>Deep-sea sponge grounds are distributed globally and are considered hotspots of biological diversity and biogeochemical cycling. To date, little is known about the environmental constraints that control where deep-sea sponge grounds occur and what conditions allow high sponge biomass to develop in the deep sea. Here, we characterize oceanographic conditions at two contrasting high- and low-sponge-biomass sites off the northern Labrador Shelf in Canadian waters. Unique data for the region were collected by year-long benthic lander deployments equipped with current meters, turbidity and chlorophyll-a sensors, and sediment traps. Additionally, the regional oceanography was described by analysing vertical conductivity/salinity-temperature-depth (CTD) and Argo float profiles for the Northern Labrador Shelf from 2005 to 2022, including those from the CTD casts taken at the benthic lander stations. Benthic fauna stable isotopes were analysed to identify potential food sources. Our results revealed strong (0.26 ± 0.14 m s-1; mean ± SD) semidiurnal tidal currents at the high-sponge-biomass site, but twofold weaker currents (0.14 ± 0.08 m s-1; mean ± SD) at the low-sponge-biomass site. These tidal currents cause periodic temperature fluctuations, sediment resuspension, intense vertical flows across the slope, which during spring, contribute to transport of organic material to the seafloor during a diurnal tidal cycle. Periodic fluctuations in bottom water temperature confirm the amplified transport across the shelf break at the high-sponge-biomass site. The high-sponge-biomass area is situated where the Hudson Strait Ouflow, the Irminger Current, and the West Greenland Current converge, which could lead to downwelling. Bottom silicate concentrations were increased at the high-biomass sponge ground due to advection of silicate-rich bottom water from Baffin Bay. Finally, the arrival of chlorophyll-a rich material in spring at both the low- and high-sponge-biomass sites demonstrated tight benthic-pelagic coupling prior to the onset of stratification. Mass fluxes of trapped material were higher and consisted of less degraded material at the high-sponge-biomass site. Stable isotope signatures indicated that soft corals (Primnoa resedaeformis) fed on suspended particulate organic matter, while massive sponges (Geodia spp.) likely utilized additional food sources. Our results imply that benthic fauna at the high-sponge-biomass site benefit from strong tidal currents, which increases food supply, and favourable regional ocean currents that increase nutrient concentration in bottom waters.</x:v>
      </x:c>
      <x:c r="K261" s="11" t="str">
        <x:v>NO</x:v>
      </x:c>
      <x:c r="L261" s="7" t="str">
        <x:v>NOT_CONFIRMED</x:v>
      </x:c>
      <x:c r="M261" s="7" t="str"/>
      <x:c r="N261" s="7" t="str">
        <x:v>VERIFIED_DOI_DOCUMENT</x:v>
      </x:c>
      <x:c r="O261" s="7" t="str">
        <x:v>B01_DEEP_COLD_SEDIMENT_EVIDENCE</x:v>
      </x:c>
      <x:c r="P261" s="11" t="str">
        <x:v>HIGH</x:v>
      </x:c>
      <x:c r="Q261" s="7" t="str">
        <x:v>Deep-sea sponges (Geodia spp.) and soft corals (Primnoa resedaeformis) on the Northern Labrador Shelf.</x:v>
      </x:c>
      <x:c r="R261" s="7" t="str">
        <x:v>Sediment resuspension, turbidity, and bottom currents measured with benthic landers; sediment trap mass fluxes.</x:v>
      </x:c>
      <x:c r="S261" s="7" t="str">
        <x:v>High sponge biomass at site with strong tidal currents and sediment resuspension; potential food supply linkage; benthic-pelagic coupling.</x:v>
      </x:c>
      <x:c r="T261" s="7" t="str">
        <x:v>B01: Deep-sea cold-water sponge source with explicit sediment/turbidity/resuspension pathway and ecological condition evidence (biomass, food supply).</x:v>
      </x:c>
      <x:c r="U261" s="7" t="str">
        <x:v>This preprint directly characterizes environmental conditions at deep-sea sponge grounds and includes year-long measurements of turbidity and sediment traps, identifying sediment resuspension driven by tidal currents as one of the physical processes. It relates these conditions to sponge biomass, with high-biomass site experiencing stronger currents and greater resuspension, thus providing ecological condition evidence for a sediment-related pathway. Although the paper emphasizes food supply rather than a localized sediment stressor, the explicit incorporation of turbidity and resuspension at a deep-sea sponge habitat meets the broader Tier B inclusion criteria. It is preferable to CHAIN_ONLY because the abstract itself contains relevant target evidence, and to EXCLUDE because it provides biological condition data tied to sediment dynamics, not merely physical oceanography.</x:v>
      </x:c>
      <x:c r="V261" s="7" t="str">
        <x:v>ALL_VERIFIED_NON_TROPICAL_TIER_B_INCLUSIONS</x:v>
      </x:c>
      <x:c r="W261" s="7" t="str">
        <x:v>TBV1-0068</x:v>
      </x:c>
    </x:row>
    <x:row r="262" ht="42" customHeight="1">
      <x:c r="A262" s="17" t="str">
        <x:v>B</x:v>
      </x:c>
      <x:c r="B262" s="7" t="str">
        <x:v>CWC-A0EAE7DD2FA4</x:v>
      </x:c>
      <x:c r="C262" s="7" t="str">
        <x:v>Zero harmful impact from drilling discharges: Where are the limits?</x:v>
      </x:c>
      <x:c r="D262" s="7" t="str">
        <x:v>Ulf Moltu | Laurence Pinturier</x:v>
      </x:c>
      <x:c r="E262" s="11" t="str">
        <x:v>2008</x:v>
      </x:c>
      <x:c r="F262" s="7" t="str">
        <x:v>SPE International Conference on Health, Safety and Environment in Oil and Gas Exploration and Production</x:v>
      </x:c>
      <x:c r="G262" s="7" t="str">
        <x:v>conference-paper</x:v>
      </x:c>
      <x:c r="H262" s="7" t="str">
        <x:v>10.2118/111666-ms</x:v>
      </x:c>
      <x:c r="I262" s="7" t="str">
        <x:v>https://doi.org/10.2118/111666-ms</x:v>
      </x:c>
      <x:c r="J262" s="7" t="str">
        <x:v>Abstract Total E&amp;P Norge is an EMAS registered and ISO 14001 certified company. With a commitment to continuous improvement and minimizing footprint from activities, an internally defined zero harmful impact objective for the drilling of an exploration well in the Norwegian Sea was set. Deep water coral structuresi were identified in the vicinity of the well location driving the focus on potential physical impact in addition to chemical impacts on these structures and the sediment fauna. To verify if the objective is met, the environmental impact level on the marine environment associated with the drilling activities has to be assessed and the effects verified. Three hole sections were discharged and the effects associated with these discharges were investigated. Cuttings size distribution, chemicals composition of the mud, and volume discharged were collected during the drilling of these sections. These data was applied in a risk modelling tool developed within the joint industry project ERMSii providing estimation of risk associated with drilling discharges on the sea floor and in the water column. This model is still under qualification/verification and the presented drilling operation represented an excellent case study where the output of the model in term of risk for particles and chemicals can be tested towards field observations. Sea floor observations were performed before, during and after drilling operation in order to evaluate the extent of the cuttings deposition and dispersion. This paper discusses the risk associated with the chemicals and particles present in the mud, in the water column and in the sediment as estimated by the model. The cutting distribution simulated by the model is compared with observations of the sea floor. From these results and existing knowledge from monitoring and exposure studies, "zero harmful" impact level on sediment fauna, coral and water column is discussed. For the sediments impact from physical deposition and change in grain size were observed only in the close vicinity of the well. No chemical contamination could take place based on chemicals discharged and as modelled by the risk modelling tool. Impact to the water column was also considered insignificant and related to physical impact from particles in upper part of the water column and only in the close vicinity of the discharge. Also for the water column no chemical contamination could take place based on chemicals discharged and as confirmed by the risk modelling performed. The conclusion from this study is that the objective was met. The paper proposes that physical impact is considered acceptable within certain distance from the well bore location. The size for such an area should be decided upon based on a case by case evaluation depending upon the extent of the drilling activity and the area.</x:v>
      </x:c>
      <x:c r="K262" s="11" t="str">
        <x:v>NO</x:v>
      </x:c>
      <x:c r="L262" s="7" t="str">
        <x:v>NOT_CONFIRMED</x:v>
      </x:c>
      <x:c r="M262" s="7" t="str"/>
      <x:c r="N262" s="7" t="str">
        <x:v>VERIFIED_DOI_DOCUMENT</x:v>
      </x:c>
      <x:c r="O262" s="7" t="str">
        <x:v>B01_DEEP_COLD_SEDIMENT_EVIDENCE</x:v>
      </x:c>
      <x:c r="P262" s="11" t="str">
        <x:v>HIGH</x:v>
      </x:c>
      <x:c r="Q262" s="7" t="str">
        <x:v>Deep-water coral structures in the Norwegian Sea; sediment fauna as associated benthic organisms.</x:v>
      </x:c>
      <x:c r="R262" s="7" t="str">
        <x:v>Drilling discharges: cuttings, particles, and drilling mud chemicals; physical deposition and dispersion; risk modelled for water column and sea floor.</x:v>
      </x:c>
      <x:c r="S262" s="7" t="str">
        <x:v>Environmental impact assessment and field observations before, during and after drilling; monitoring of cuttings deposition; discussion of 'zero harmful' impact level for sediment fauna, coral, and water column; proposal of acceptable physical impact distance from well.</x:v>
      </x:c>
      <x:c r="T262" s="7" t="str">
        <x:v>Meets B01 because it provides explicit deep/cold-water coral and sediment fauna impact evidence from drilling discharges, including particle/cuttings physical effects and monitoring/risk assessment.</x:v>
      </x:c>
      <x:c r="U262" s="7" t="str">
        <x:v>This conference paper directly addresses deep-water coral structures and sediment fauna in the Norwegian Sea in the context of drilling discharges, explicitly evaluating cuttings size distribution, deposition, dispersion, and physical impact. It includes field observations before/during/after drilling and risk modelling, discussing 'zero harmful' impact levels for corals and sediment. This provides explicit sediment-pathway impact evidence for cold-water corals, satisfying B01. Chosen over B02 because it is a primary assessment/monitoring study rather than a review or regulatory document. Chosen over EXCLUDE because sediment and coral response evidence are central.</x:v>
      </x:c>
      <x:c r="V262" s="7" t="str">
        <x:v>ALL_VERIFIED_NON_TROPICAL_TIER_B_INCLUSIONS</x:v>
      </x:c>
      <x:c r="W262" s="7" t="str">
        <x:v>TBV1-0049</x:v>
      </x:c>
    </x:row>
  </x:sheetData>
  <x:conditionalFormatting sqref="K2:K262">
    <x:cfRule type="containsText" dxfId="4" priority="1" operator="containsText" text="YES"/>
  </x:conditionalFormatting>
  <x:conditionalFormatting sqref="O2:O262">
    <x:cfRule type="beginsWith" dxfId="5" priority="2" operator="beginsWith" text="B04"/>
  </x:conditionalFormatting>
  <x:pageMargins left="0.7" right="0.7" top="0.75" bottom="0.75" header="0.3" footer="0.3"/>
  <x:tableParts count="1">
    <x:tablePart xmlns:r="http://schemas.openxmlformats.org/officeDocument/2006/relationships" r:id="R1e753a24ff644846"/>
  </x:tableParts>
</x:worksheet>
</file>