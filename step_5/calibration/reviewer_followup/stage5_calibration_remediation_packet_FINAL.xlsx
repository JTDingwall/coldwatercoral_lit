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9772ac9b9d440f" /></Relationships>
</file>

<file path=xl/workbook.xml><?xml version="1.0" encoding="utf-8"?>
<x:workbook xmlns:x="http://schemas.openxmlformats.org/spreadsheetml/2006/main">
  <x:sheets>
    <x:sheet xmlns:r="http://schemas.openxmlformats.org/officeDocument/2006/relationships" name="Instructions" sheetId="1" r:id="R15f8f16acac5401f"/>
    <x:sheet xmlns:r="http://schemas.openxmlformats.org/officeDocument/2006/relationships" name="Reviewer Follow-up" sheetId="2" r:id="R7f4338e06c084176"/>
    <x:sheet xmlns:r="http://schemas.openxmlformats.org/officeDocument/2006/relationships" name="Calibration Summary" sheetId="3" r:id="Rfd84628f50394ea1"/>
    <x:sheet xmlns:r="http://schemas.openxmlformats.org/officeDocument/2006/relationships" name="CSAS Priority Audit" sheetId="4" r:id="Raa3ef22149c744ff"/>
    <x:sheet xmlns:r="http://schemas.openxmlformats.org/officeDocument/2006/relationships" name="Search Remediation" sheetId="5" r:id="Rbe1a81386eee4bb0"/>
    <x:sheet xmlns:r="http://schemas.openxmlformats.org/officeDocument/2006/relationships" name="Data Notes" sheetId="6" r:id="Rec0e492b566c4a75"/>
  </x:sheets>
</x:workbook>
</file>

<file path=xl/sharedStrings.xml><?xml version="1.0" encoding="utf-8"?>
<x:sst xmlns:x="http://schemas.openxmlformats.org/spreadsheetml/2006/main">
  <x:si>
    <x:t xml:space="preserve">Stage 5 Calibration Remediation Packet</x:t>
  </x:si>
  <x:si>
    <x:t xml:space="preserve">Reviewer actions, calibration reconciliation, CSAS reference audit, and the controlled supplementary-search plan.</x:t>
  </x:si>
  <x:si>
    <x:t xml:space="preserve">Main finding</x:t>
  </x:si>
  <x:si>
    <x:t xml:space="preserve">The three papers named by the validator are present in the 43,307-record search corpus. They did not appear in the 409-record Covidence file because that file was a calibration sample, not the complete corpus. A separate CSAS audit found four priority references that were not automatically matched and should be checked through a supplementary search.</x:t>
  </x:si>
  <x:si>
    <x:t xml:space="preserve">Step</x:t>
  </x:si>
  <x:si>
    <x:t xml:space="preserve">Reviewer action</x:t>
  </x:si>
  <x:si>
    <x:t xml:space="preserve">Where</x:t>
  </x:si>
  <x:si>
    <x:t xml:space="preserve">Required field</x:t>
  </x:si>
  <x:si>
    <x:t xml:space="preserve">Completion rule</x:t>
  </x:si>
  <x:si>
    <x:t xml:space="preserve">Why it matters</x:t>
  </x:si>
  <x:si>
    <x:t xml:space="preserve">Classify each current YES record</x:t>
  </x:si>
  <x:si>
    <x:t xml:space="preserve">Reviewer Follow-up</x:t>
  </x:si>
  <x:si>
    <x:t xml:space="preserve">final_category</x:t>
  </x:si>
  <x:si>
    <x:t xml:space="preserve">Choose one category for FU-01 to FU-12</x:t>
  </x:si>
  <x:si>
    <x:t xml:space="preserve">The locked protocol uses four categories, not the three Covidence labels.</x:t>
  </x:si>
  <x:si>
    <x:t xml:space="preserve">Resolve export inconsistencies</x:t>
  </x:si>
  <x:si>
    <x:t xml:space="preserve">confirmed_decision</x:t>
  </x:si>
  <x:si>
    <x:t xml:space="preserve">Confirm FU-13 to FU-15; add a category if confirmed YES</x:t>
  </x:si>
  <x:si>
    <x:t xml:space="preserve">These records were selected in RIS but labelled NO in the CSV.</x:t>
  </x:si>
  <x:si>
    <x:t xml:space="preserve">Add a short note only when needed</x:t>
  </x:si>
  <x:si>
    <x:t xml:space="preserve">reviewer_note</x:t>
  </x:si>
  <x:si>
    <x:t xml:space="preserve">Explain any changed or uncertain decision</x:t>
  </x:si>
  <x:si>
    <x:t xml:space="preserve">Creates an auditable trail without overburdening the reviewer.</x:t>
  </x:si>
  <x:si>
    <x:t xml:space="preserve">Return the completed workbook</x:t>
  </x:si>
  <x:si>
    <x:t xml:space="preserve">review_status</x:t>
  </x:si>
  <x:si>
    <x:t xml:space="preserve">All rows show COMPLETE</x:t>
  </x:si>
  <x:si>
    <x:t xml:space="preserve">Stage 5 cannot pass the calibration gate until the follow-up is resolved.</x:t>
  </x:si>
  <x:si>
    <x:t xml:space="preserve">Category</x:t>
  </x:si>
  <x:si>
    <x:t xml:space="preserve">Use when</x:t>
  </x:si>
  <x:si>
    <x:t xml:space="preserve">Typical result</x:t>
  </x:si>
  <x:si>
    <x:t xml:space="preserve">CORE_INCLUDE</x:t>
  </x:si>
  <x:si>
    <x:t xml:space="preserve">Target cold-water/deep-sea coral or sponge; exposure and outcome are directly in scope.</x:t>
  </x:si>
  <x:si>
    <x:t xml:space="preserve">Include in core evidence synthesis</x:t>
  </x:si>
  <x:si>
    <x:t xml:space="preserve">TRANSFERABLE_MECHANISM</x:t>
  </x:si>
  <x:si>
    <x:t xml:space="preserve">Adjacent taxon, geography, or exposure that provides a mechanism relevant to the core question.</x:t>
  </x:si>
  <x:si>
    <x:t xml:space="preserve">Retain in a separate transferable evidence stream</x:t>
  </x:si>
  <x:si>
    <x:t xml:space="preserve">EXCLUDE</x:t>
  </x:si>
  <x:si>
    <x:t xml:space="preserve">Fails one or more eligibility criteria after review.</x:t>
  </x:si>
  <x:si>
    <x:t xml:space="preserve">Do not include in synthesis</x:t>
  </x:si>
  <x:si>
    <x:t xml:space="preserve">UNCERTAIN</x:t>
  </x:si>
  <x:si>
    <x:t xml:space="preserve">Information is insufficient or genuinely ambiguous.</x:t>
  </x:si>
  <x:si>
    <x:t xml:space="preserve">Escalate for discussion/full-text review</x:t>
  </x:si>
  <x:si>
    <x:t xml:space="preserve">Yellow cells are reviewer-editable. Do not change titles, identifiers, or the current Covidence decision columns.</x:t>
  </x:si>
  <x:si>
    <x:t xml:space="preserve">Reviewer Follow-up — 15 Records</x:t>
  </x:si>
  <x:si>
    <x:t xml:space="preserve">Complete only the yellow fields. FU-01 to FU-12 need a four-way category; FU-13 to FU-15 need confirmation of the final decision.</x:t>
  </x:si>
  <x:si>
    <x:t xml:space="preserve">Editable fields: final_category, confirmed_decision, and reviewer_note. Status updates automatically.</x:t>
  </x:si>
  <x:si>
    <x:t xml:space="preserve">followup_id</x:t>
  </x:si>
  <x:si>
    <x:t xml:space="preserve">corpus_id</x:t>
  </x:si>
  <x:si>
    <x:t xml:space="preserve">title</x:t>
  </x:si>
  <x:si>
    <x:t xml:space="preserve">authors</x:t>
  </x:si>
  <x:si>
    <x:t xml:space="preserve">year</x:t>
  </x:si>
  <x:si>
    <x:t xml:space="preserve">source</x:t>
  </x:si>
  <x:si>
    <x:t xml:space="preserve">doi</x:t>
  </x:si>
  <x:si>
    <x:t xml:space="preserve">url</x:t>
  </x:si>
  <x:si>
    <x:t xml:space="preserve">abstract</x:t>
  </x:si>
  <x:si>
    <x:t xml:space="preserve">current_decision</x:t>
  </x:si>
  <x:si>
    <x:t xml:space="preserve">followup_reason</x:t>
  </x:si>
  <x:si>
    <x:t xml:space="preserve">FU-01</x:t>
  </x:si>
  <x:si>
    <x:t xml:space="preserve">CWC-104B2C5A7924</x:t>
  </x:si>
  <x:si>
    <x:t xml:space="preserve">Sediment impacts on marine sponges</x:t>
  </x:si>
  <x:si>
    <x:t xml:space="preserve">James J. Bell; Emily McGrath; Andrew Biggerstaff; Tracey Bates; Holly Bennett; Joseph Marlow; Megan Shaffer</x:t>
  </x:si>
  <x:si>
    <x:t xml:space="preserve">2015</x:t>
  </x:si>
  <x:si>
    <x:t xml:space="preserve">Marine Pollution Bulletin</x:t>
  </x:si>
  <x:si>
    <x:t xml:space="preserve">10.1016/j.marpolbul.2015.03.030</x:t>
  </x:si>
  <x:si>
    <x:t xml:space="preserve">YES</x:t>
  </x:si>
  <x:si>
    <x:t xml:space="preserve">Classify this included record as CORE_INCLUDE or TRANSFERABLE_MECHANISM.</x:t>
  </x:si>
  <x:si>
    <x:t xml:space="preserve">FU-02</x:t>
  </x:si>
  <x:si>
    <x:t xml:space="preserve">CWC-18A1BC367C4A</x:t>
  </x:si>
  <x:si>
    <x:t xml:space="preserve">Avoidance and Mitigation of Coral and Sponge Species During Exploratory Drilling Activities Offshore Newfoundland and Labrador</x:t>
  </x:si>
  <x:si>
    <x:t xml:space="preserve">L. Gullage; V. Hayes; B. M. Neves; N. Wells; F. Cyr; F. J. Murillo</x:t>
  </x:si>
  <x:si>
    <x:t xml:space="preserve">2022</x:t>
  </x:si>
  <x:si>
    <x:t xml:space="preserve">Federal Open Science Repository of Canada / Le Dépôt fédéral de science ouverte du Canada</x:t>
  </x:si>
  <x:si>
    <x:t xml:space="preserve">An investigation was conducted into the likely impacts of exploratory drilling to coral and sponge species in the Newfoundland and Labrador (NL) region, as well as the ways in which avoidance and mitigation measures can be applied to reduce them. Impacts described in existing literature suggest that coral and sponge species may experience changes in behaviour (e.g. feeding, reproduction), fitness, and survival as a result of physical damage, exposure to chemicals, and/or excess sedimentation which result from exploratory drilling activities. As outlined in the Fisheries Act, it is recommended that a “mitigation hierarchy” of: (1) avoid, (2) mitigate, (3) offset, be used to reduce risks to biodiversity. However, because offsetting impacts would not generally be compatible with benthic conservation objectives, they are not discussed in depth in this report. Following this hierarchy, the avoidance of exploratory drilling in existing special areas that have been previously delineated based on the presence of coral and/or sponge species in high densities is essential for preserving biodiversity in the region. This would include Significant Benthic Areas (SiBAs), Vulnerable Marine Ecosys</x:t>
  </x:si>
  <x:si>
    <x:t xml:space="preserve">FU-03</x:t>
  </x:si>
  <x:si>
    <x:t xml:space="preserve">CWC-19F713252CB7</x:t>
  </x:si>
  <x:si>
    <x:t xml:space="preserve">Simulation Of Concentrations and Depositions of Particle Matter Caused by Drilling Discharges. Comparison Between Field Measurements and Simulation Results at Coral Locations</x:t>
  </x:si>
  <x:si>
    <x:t xml:space="preserve">Henrik Rye; May Kristin Ditlevsen; Jannecke A. Moe; Morten Løkken</x:t>
  </x:si>
  <x:si>
    <x:t xml:space="preserve">2012</x:t>
  </x:si>
  <x:si>
    <x:t xml:space="preserve">10.2118/156775-ms</x:t>
  </x:si>
  <x:si>
    <x:t xml:space="preserve">Abstract Deepwater corals (Lophelia) was identified in the vicinity of the location of the exploration well Pumbaa on the Norwegian Continental Shelf where a drilling operation was carried out by the GDF SUEZ E&amp;amp;P Norge AS (GDF SUEZ). When drilling in sensitive areas, it is a requirement from the Norwegian authorities that the operator shall monitor the drilling operation. Possible impacts on the corals were simulated prior to the drilling operation. In addition, monitoring of the discharges during drilling was carried out in order to document effects on the corals. The paper considers a comparison between measured and simulated discharges of drill cuttings and mud to the sea on the Pumbaa field in the Norwegian Sea. The actual monitoring program is presented in a separate paper on this conference (Moskeland et al. 2012). The main objective of the monitoring was to assess effects from the drilling activities on the corals south (and nearest) of the drilling location. The monitoring program included measurements of current, turbidity and sedimentation, as well as sampling of sediments from the seafloor. The data collected in the monitoring program turned out to be useful as well</x:t>
  </x:si>
  <x:si>
    <x:t xml:space="preserve">FU-04</x:t>
  </x:si>
  <x:si>
    <x:t xml:space="preserve">CWC-2B5110CD6CD1</x:t>
  </x:si>
  <x:si>
    <x:t xml:space="preserve">Effects of dissolved nickel and nickel-contaminated suspended sediment on the scleractinian coral, Acropora muricata - R Discovery</x:t>
  </x:si>
  <x:si>
    <x:t xml:space="preserve">Title: Effects of dissolved nickel and nickel-contaminated suspended sediment on the scleractinian coral, Acropora muricata - R Discovery * Effects of dissolved nickel and nickel-contaminated suspended sediment on the scleractinian coral, Acropora muricata. # Effects of dissolved nickel and nickel-contaminated suspended sediment on the scleractinian coral, Acropora muricata. Significant bleaching and accumulation of nickel in coral tissue was observed only after exposure to high dissolved nickel concentrations and nickel-spiked suspended sediment. This study demonstrates that bioavailability o</x:t>
  </x:si>
  <x:si>
    <x:t xml:space="preserve">FU-05</x:t>
  </x:si>
  <x:si>
    <x:t xml:space="preserve">CWC-5B85EC31589B</x:t>
  </x:si>
  <x:si>
    <x:t xml:space="preserve">Glass sponges arrest pumping in response to increased sediment loads</x:t>
  </x:si>
  <x:si>
    <x:t xml:space="preserve">Leys, SP; Tompkins, GJ</x:t>
  </x:si>
  <x:si>
    <x:t xml:space="preserve">2004</x:t>
  </x:si>
  <x:si>
    <x:t xml:space="preserve">INTEGRATIVE AND COMPARATIVE BIOLOGY</x:t>
  </x:si>
  <x:si>
    <x:t xml:space="preserve">FU-06</x:t>
  </x:si>
  <x:si>
    <x:t xml:space="preserve">CWC-6ABFA4BF4E10</x:t>
  </x:si>
  <x:si>
    <x:t xml:space="preserve">Assessing the Effects of Hydrocarbon Drilling Activity on Deep-water Megafauna in the Northern North Atlantic. A Rapid Universal Assessment Method?</x:t>
  </x:si>
  <x:si>
    <x:t xml:space="preserve">Daniel O. B. Jones; Andrew R. Gates</x:t>
  </x:si>
  <x:si>
    <x:t xml:space="preserve">2010</x:t>
  </x:si>
  <x:si>
    <x:t xml:space="preserve">SPE International Conference on Health, Safety and Environment in Oil and Gas Exploration and Production</x:t>
  </x:si>
  <x:si>
    <x:t xml:space="preserve">10.2118/126841-ms</x:t>
  </x:si>
  <x:si>
    <x:t xml:space="preserve">MAYBE</x:t>
  </x:si>
  <x:si>
    <x:t xml:space="preserve">FU-07</x:t>
  </x:si>
  <x:si>
    <x:t xml:space="preserve">CWC-7A3BE9870A2A</x:t>
  </x:si>
  <x:si>
    <x:t xml:space="preserve">Sedimentation on the cold-water coral Lophelia pertusa: Cleaning efficiency from natural sediments and drill cuttings</x:t>
  </x:si>
  <x:si>
    <x:t xml:space="preserve">Ann I. Larsson; Autun Purser</x:t>
  </x:si>
  <x:si>
    <x:t xml:space="preserve">2011</x:t>
  </x:si>
  <x:si>
    <x:t xml:space="preserve">10.1016/j.marpolbul.2011.03.041</x:t>
  </x:si>
  <x:si>
    <x:t xml:space="preserve">Anthropogenic threats to cold-water coral reefs are trawling and hydrocarbon drilling, with both activities causing increased levels of suspended particles. The efficiency of Lophelia pertusa in rejecting local sediments and drill cuttings from the coral surface was evaluated and found not to differ between sediment types. Further results showed that the coral efficiently removed deposited material even after repeated exposures, indicating an efficient cleaning mechanism. In an experiment focusing on burial, fine-fraction drill cuttings were deposited on corals over time. Drill cutting covered coral area increased with repeated depositions, with accumulation mainly occurring on and adjacent to regions of the coral skeleton lacking tissue cover. Tissue was smothered and polyp mortality occurred where polyps became wholly covered by material. Burial of coral by drill cuttings to the current threshold level used in environmental risk assessment models by the offshore industry (6.3 mm) may result in damage to L pertusa colonies. (C) 2011 Elsevier Ltd. All rights reserved.</x:t>
  </x:si>
  <x:si>
    <x:t xml:space="preserve">FU-08</x:t>
  </x:si>
  <x:si>
    <x:t xml:space="preserve">CWC-93C925DB4EEE</x:t>
  </x:si>
  <x:si>
    <x:t xml:space="preserve">Resistance of Lophelia pertusa to coverage by sediment and petroleum drill cuttings</x:t>
  </x:si>
  <x:si>
    <x:t xml:space="preserve">Elke Allers; Raeid M. M. Abed; Laura M. Wehrmann; Tao Wang; Ann I. Larsson; Autun Purser; Dirk de Beer</x:t>
  </x:si>
  <x:si>
    <x:t xml:space="preserve">2013</x:t>
  </x:si>
  <x:si>
    <x:t xml:space="preserve">10.1016/j.marpolbul.2013.07.016</x:t>
  </x:si>
  <x:si>
    <x:t xml:space="preserve">In laboratory experiments, the cold-water coral Lophelia pertusa was exposed to settling particles. The effects of reef sediment, petroleum drill cuttings and a mix of both, on the development of anoxia at the coral surface were studied using O-2, pH and H2S microsensors and by assessing coral polyp mortality. Due to the branching morphology of L pernisa and the release of coral mucus, accumulation rates of settling material on coral branches were low. Microsensors detected H2S production in only a few samples, and sulfate reduction rates of natural reef sediment slurries were low (&lt;0.3 nmol S cm(-3) d(-1)). While the exposure to sediment clearly reduced the coral's accessibility to oxygen, L. pertusa tolerated both partial low-oxygen and anoxic conditions without any visible detrimental short-term effect, such as tissue damage or death. However, complete burial of coral branches for &gt;24 h in reef sediment resulted in suffocation. (C) 2013 Elsevier Ltd. All rights reserved.</x:t>
  </x:si>
  <x:si>
    <x:t xml:space="preserve">FU-09</x:t>
  </x:si>
  <x:si>
    <x:t xml:space="preserve">CWC-D0DB0DCA6CA8</x:t>
  </x:si>
  <x:si>
    <x:t xml:space="preserve">Detecting sedimentation impacts to coral reefs resulting from dredging the Port of Miami, Florida USA</x:t>
  </x:si>
  <x:si>
    <x:t xml:space="preserve">Margaret W. Miller; Jocelyn Karazsia; Carolyn Groves; Sean Griffin; Tom Moore; Pace Wilber; Kurtis Gregg</x:t>
  </x:si>
  <x:si>
    <x:t xml:space="preserve">2016</x:t>
  </x:si>
  <x:si>
    <x:t xml:space="preserve">PeerJ</x:t>
  </x:si>
  <x:si>
    <x:t xml:space="preserve">10.7717/peerj.2711</x:t>
  </x:si>
  <x:si>
    <x:t xml:space="preserve">The federal channel at Port of Miami, Florida, USA, was dredged between late 2013 and early 2015 to widen and deepen the channel. Due to the limited spatial extent of impact-assessment monitoring associated with the project, the extent of the dredging impacts on surrounding coral reefs has not been well quantified. Previously published remote sensing analyses, as well as agency and anecdotal reports suggest the most severe and largest area of sedimentation occurred on a coral reef feature referred to as the Inner Reef, particularly in the sector north of the channel. A confounding regional warm-water mass bleaching event followed by a coral disease outbreak during this same time frame made the assessment of dredging-related impacts to coral reefs adjacent to the federal channel difficult but still feasible. The current study sought to better understand the sedimentation impacts that occurred in the coral reef environment surrounding Port of Miami, to distinguish those impacts from other regional events or disturbances, and provide supplemental information on impact assessment that will inform discussions on compensatory mitigation requirements. To this end, in-water field assessmen</x:t>
  </x:si>
  <x:si>
    <x:t xml:space="preserve">FU-10</x:t>
  </x:si>
  <x:si>
    <x:t xml:space="preserve">CWC-D670110C23A8</x:t>
  </x:si>
  <x:si>
    <x:t xml:space="preserve">A Time Series Study of Lophelia pertusa and Reef Megafauna Responses to Drill Cuttings Exposure on the Norwegian Margin</x:t>
  </x:si>
  <x:si>
    <x:t xml:space="preserve">Autun Purser</x:t>
  </x:si>
  <x:si>
    <x:t xml:space="preserve">PLoS ONE</x:t>
  </x:si>
  <x:si>
    <x:t xml:space="preserve">10.1371/journal.pone.0134076</x:t>
  </x:si>
  <x:si>
    <x:t xml:space="preserve">As hotspots of local biodiversity in the deep sea, preservation of cold-water coral reef communities is of great importance. In European waters the most extensive reefs are found at depths of 300 - 500 m on the continental margin. In Norwegian waters many of these reefs are located in areas of interest for oil and gas exploration and production. In this study drilling was carried out in the Morvin drill field in proximity to a number of small Lophelia pertusa coral reefs (closest reefs 100 m upstream and 350 m downstream of point of waste drill material release). In a novel monitoring study, ROV video surveys of 9 reefs were conducted prior, during, immediately after and &gt; 1 year after drilling operations. Behavior of coral polyps inhabiting reefs exposed to differing concentrations of drill cuttings and drilling fluids (waste drilling material) were compared. Levels of expected exposure to these waste materials were determined for each reef by modelling drill cutting transport following release, using accurate in-situ hydrodynamic data collected during the drilling period and drill cutting discharge data as parameters of a dispersal model. The presence / absence of associate reef</x:t>
  </x:si>
  <x:si>
    <x:t xml:space="preserve">FU-11</x:t>
  </x:si>
  <x:si>
    <x:t xml:space="preserve">CWC-D853A48EC603</x:t>
  </x:si>
  <x:si>
    <x:t xml:space="preserve">Function of funnel-shaped coral growth in a high-sedimentation environment</x:t>
  </x:si>
  <x:si>
    <x:t xml:space="preserve">Bernhard Riegl; Christian Heine; George M. Branch</x:t>
  </x:si>
  <x:si>
    <x:t xml:space="preserve">1996</x:t>
  </x:si>
  <x:si>
    <x:t xml:space="preserve">Marine Ecology Progress Series</x:t>
  </x:si>
  <x:si>
    <x:t xml:space="preserve">10.3354/meps145087</x:t>
  </x:si>
  <x:si>
    <x:t xml:space="preserve">ABSTKACT Advantages and dlsadvantayes of a funnel-shaped growth In 2 coral species (.4cropora clat111-ata, Jurblnana peltata) in a high-sedimentation environment (Natal, South Afr~ca) were observed in the field and modeled In a flow tank Funnel-shaped growth servcs different purposes in d~fferent hydrographic settings In calm waters w ~t h l~ttle currents (in our casr deep reef areas, 18 to 25 m) funnel-qhaped colonres served as ' s a c r ~f ~c ~a l sediment traps'. all sediment trapped inside the funnel was dirrcted towards the centre, c v h e r ~ ~t was concentrated. There, tissues undertuent necroses, but all other tissues r e m a ~n e d sedinient free and healthy In areas w ~t h 111rlh currents (in our case shallower reef areas with high surge. 8 to 14 m ) funncls tended to be self-c-ltlan~nq By a PI-ocess of vortex shedd ~n g , mass replacement ot f l ~~~d w ~t h i n thi. funnel also led to the ~enlovdl of all sediment. Current speeds between 30 and 90 cm s ' \vprcJ enough to clean the funnels of 3 exper~rnental grain si?es (coarse, flne, m e d ~u m sand)</x:t>
  </x:si>
  <x:si>
    <x:t xml:space="preserve">FU-12</x:t>
  </x:si>
  <x:si>
    <x:t xml:space="preserve">CWC-EF0CBC2EDD39</x:t>
  </x:si>
  <x:si>
    <x:t xml:space="preserve">Add-on studies to the current NFR Project “Impact of water- based drilling mud: a study using the epibenthic coral species Lophelia pertusa</x:t>
  </x:si>
  <x:si>
    <x:t xml:space="preserve">Thierry Baussant; Fiona Provan; Maria Sydnes; Fiona M. Lyng; Eivind Larssen; Bjørkblom, C.; Krista M. Kaster; Boccadoro, Cathrine; Nævdal, A.; A. Eide</x:t>
  </x:si>
  <x:si>
    <x:t xml:space="preserve">Duo Research Archive (University of Oslo)</x:t>
  </x:si>
  <x:si>
    <x:t xml:space="preserve">This study was made in the frame of an ongoing NFR project aiming at assessing the impact of drilling mud (DM) discharges from offshore O&amp;amp;G operations on the coldwater coral species Lophelia pertusa. Here, we have initiated developments and use of methodologies that could have a potential for application, at a later stage of their optimization, in field monitoring of coral health and hence for documenting the effects of drilling mud discharges</x:t>
  </x:si>
  <x:si>
    <x:t xml:space="preserve">FU-13</x:t>
  </x:si>
  <x:si>
    <x:t xml:space="preserve">CWC-4D83BD3A455E</x:t>
  </x:si>
  <x:si>
    <x:t xml:space="preserve">International Team Studies Impacts of Oil and Gas Drilling on Cold-Water Corals in Norway</x:t>
  </x:si>
  <x:si>
    <x:t xml:space="preserve">U.S. Geological Survey</x:t>
  </x:si>
  <x:si>
    <x:t xml:space="preserve">NO</x:t>
  </x:si>
  <x:si>
    <x:t xml:space="preserve">This record is in the selected RIS but is NO in the decision CSV; confirm the final decision.</x:t>
  </x:si>
  <x:si>
    <x:t xml:space="preserve">FU-14</x:t>
  </x:si>
  <x:si>
    <x:t xml:space="preserve">CWC-80F2522E8BE3</x:t>
  </x:si>
  <x:si>
    <x:t xml:space="preserve">17 July: New study links dredging to diseased corals | AIMS</x:t>
  </x:si>
  <x:si>
    <x:t xml:space="preserve">Australian Institute of Marine Science</x:t>
  </x:si>
  <x:si>
    <x:t xml:space="preserve"># 17 July: New study links dredging to diseased corals. In a world-first study published today, researchers say dredging activity near coral reefs can increase the frequency of diseases affecting corals. “At dredging sites, we found more than twice as much coral disease than at our control sites,” says the lead author of the study, Joe Pollock, a PhD candidate from the ARC Centre of Excellence for Coral Reef Studies (Coral CoE) at James Cook University (JCU) and the Australian Institute of Marine Science (AIMS). “And unfortunately, dredging impacts corals on two fronts: increased turbidity mea</x:t>
  </x:si>
  <x:si>
    <x:t xml:space="preserve">FU-15</x:t>
  </x:si>
  <x:si>
    <x:t xml:space="preserve">CWC-C60419A3A646</x:t>
  </x:si>
  <x:si>
    <x:t xml:space="preserve">Sediment Can Make Glass Sponge Reefs Cough and Choke | CPAWS-BC</x:t>
  </x:si>
  <x:si>
    <x:t xml:space="preserve">CPAWS-BC</x:t>
  </x:si>
  <x:si>
    <x:t xml:space="preserve">Title: Sediment Can Make Glass Sponge Reefs Cough and Choke | CPAWS-BC Home » Sediment Can Make Glass Sponge Reefs Cough and Choke. # Sediment Can Make Glass Sponge Reefs Cough and Choke. Graduate student Nathan Grant, sponge expert Dr. Sally Leys, and others from the University of Alberta have conducted the first investigations on how reef-forming glass sponges respond to sediment in natural conditions. Since their discovery in 1987, glass sponge reefs have been thought of as the delicate treasure of BC’s coast. Glass sponge reefs were thought to have gone extinct 40 million years ago, and th</x:t>
  </x:si>
  <x:si>
    <x:t xml:space="preserve">Calibration Reconciliation Summary</x:t>
  </x:si>
  <x:si>
    <x:t xml:space="preserve">Counts are from the corrected Covidence CSV and the two RIS exports. Reviewer completion metrics are linked to the follow-up sheet.</x:t>
  </x:si>
  <x:si>
    <x:t xml:space="preserve">Metric</x:t>
  </x:si>
  <x:si>
    <x:t xml:space="preserve">Value</x:t>
  </x:si>
  <x:si>
    <x:t xml:space="preserve">Interpretation</x:t>
  </x:si>
  <x:si>
    <x:t xml:space="preserve">Unique Covidence records</x:t>
  </x:si>
  <x:si>
    <x:t xml:space="preserve">The two RIS exports reconcile to this same total.</x:t>
  </x:si>
  <x:si>
    <x:t xml:space="preserve">Needs CORE_INCLUDE versus TRANSFERABLE_MECHANISM classification.</x:t>
  </x:si>
  <x:si>
    <x:t xml:space="preserve">Maps to UNCERTAIN unless the reviewer changes the decision.</x:t>
  </x:si>
  <x:si>
    <x:t xml:space="preserve">Maps to EXCLUDE unless the reviewer changes the decision.</x:t>
  </x:si>
  <x:si>
    <x:t xml:space="preserve">Follow-up records</x:t>
  </x:si>
  <x:si>
    <x:t xml:space="preserve">12 category assignments plus 3 export inconsistencies.</x:t>
  </x:si>
  <x:si>
    <x:t xml:space="preserve">Selected-RIS / CSV-NO inconsistencies</x:t>
  </x:si>
  <x:si>
    <x:t xml:space="preserve">The CSV remains authoritative until the reviewer confirms otherwise.</x:t>
  </x:si>
  <x:si>
    <x:t xml:space="preserve">Full search corpus</x:t>
  </x:si>
  <x:si>
    <x:t xml:space="preserve">Authoritative Stage 4 candidate corpus at commit 9fcb4f3.</x:t>
  </x:si>
  <x:si>
    <x:t xml:space="preserve">CSAS references parsed</x:t>
  </x:si>
  <x:si>
    <x:t xml:space="preserve">All bibliographic entries parsed from the supplied CSAS document.</x:t>
  </x:si>
  <x:si>
    <x:t xml:space="preserve">Priority CSAS references</x:t>
  </x:si>
  <x:si>
    <x:t xml:space="preserve">Organism plus sediment/drilling/particle exposure terms.</x:t>
  </x:si>
  <x:si>
    <x:t xml:space="preserve">Priority references present</x:t>
  </x:si>
  <x:si>
    <x:t xml:space="preserve">Matched automatically to the full corpus.</x:t>
  </x:si>
  <x:si>
    <x:t xml:space="preserve">Priority references not found</x:t>
  </x:si>
  <x:si>
    <x:t xml:space="preserve">Manual verification and supplementary searching required.</x:t>
  </x:si>
  <x:si>
    <x:t xml:space="preserve">Reviewer follow-ups pending</x:t>
  </x:si>
  <x:si>
    <x:t xml:space="preserve">Calculated from review_status.</x:t>
  </x:si>
  <x:si>
    <x:t xml:space="preserve">Reviewer follow-ups complete</x:t>
  </x:si>
  <x:si>
    <x:t xml:space="preserve">Calibration gate</x:t>
  </x:si>
  <x:si>
    <x:t xml:space="preserve">The gate remains blocked until reviewer follow-up is complete and QA is rerun.</x:t>
  </x:si>
  <x:si>
    <x:t xml:space="preserve">CSAS Priority Reference Audit</x:t>
  </x:si>
  <x:si>
    <x:t xml:space="preserve">Priority subset only: references mentioning corals/sponges plus sediment, drilling, particles, or related exposure terms. Automated title matching used publication year ±1.</x:t>
  </x:si>
  <x:si>
    <x:t xml:space="preserve">reference_id</x:t>
  </x:si>
  <x:si>
    <x:t xml:space="preserve">CSAS title</x:t>
  </x:si>
  <x:si>
    <x:t xml:space="preserve">corpus_status</x:t>
  </x:si>
  <x:si>
    <x:t xml:space="preserve">matched_corpus_id</x:t>
  </x:si>
  <x:si>
    <x:t xml:space="preserve">matched_corpus_title</x:t>
  </x:si>
  <x:si>
    <x:t xml:space="preserve">match_score</x:t>
  </x:si>
  <x:si>
    <x:t xml:space="preserve">priority_reason</x:t>
  </x:si>
  <x:si>
    <x:t xml:space="preserve">audit_note</x:t>
  </x:si>
  <x:si>
    <x:t xml:space="preserve">CSAS-004</x:t>
  </x:si>
  <x:si>
    <x:t xml:space="preserve">PRESENT</x:t>
  </x:si>
  <x:si>
    <x:t xml:space="preserve">Organism: cold-water coral; exposure/impact: sediment, drilling, drill cuttings</x:t>
  </x:si>
  <x:si>
    <x:t xml:space="preserve">CSAS-023</x:t>
  </x:si>
  <x:si>
    <x:t xml:space="preserve">Suspended sediment grain size and mineralogy across the continental shelf of the Great Barrier Reef: Impacts on the physiology of a coral reef sponge</x:t>
  </x:si>
  <x:si>
    <x:t xml:space="preserve">CWC-6A83F026EEB4</x:t>
  </x:si>
  <x:si>
    <x:t xml:space="preserve">Organism: coral, sponge; exposure/impact: sediment</x:t>
  </x:si>
  <x:si>
    <x:t xml:space="preserve">CSAS-030</x:t>
  </x:si>
  <x:si>
    <x:t xml:space="preserve">Evidence for morphology-induced sediment settlement prevention on the tubular sponge Haliclona urceolus</x:t>
  </x:si>
  <x:si>
    <x:t xml:space="preserve">CWC-620A6B01FCC6</x:t>
  </x:si>
  <x:si>
    <x:t xml:space="preserve">Organism: sponge; exposure/impact: sediment</x:t>
  </x:si>
  <x:si>
    <x:t xml:space="preserve">CSAS-034</x:t>
  </x:si>
  <x:si>
    <x:t xml:space="preserve">CSAS-042</x:t>
  </x:si>
  <x:si>
    <x:t xml:space="preserve">2009</x:t>
  </x:si>
  <x:si>
    <x:t xml:space="preserve">Sediment tolerance of two different morphotypes of the deep-sea coral Lophelia pertusa from the Gulf of Mexico</x:t>
  </x:si>
  <x:si>
    <x:t xml:space="preserve">CWC-8A7D3E851AE3</x:t>
  </x:si>
  <x:si>
    <x:t xml:space="preserve">Organism: coral, cold-water coral; exposure/impact: sediment</x:t>
  </x:si>
  <x:si>
    <x:t xml:space="preserve">CSAS-094</x:t>
  </x:si>
  <x:si>
    <x:t xml:space="preserve">Monitoring of Drilling Activities in Areas with Presence of Cold Water Corals</x:t>
  </x:si>
  <x:si>
    <x:t xml:space="preserve">NOT FOUND</x:t>
  </x:si>
  <x:si>
    <x:t xml:space="preserve">Organism: coral; exposure/impact: drilling</x:t>
  </x:si>
  <x:si>
    <x:t xml:space="preserve">CSAS-095</x:t>
  </x:si>
  <x:si>
    <x:t xml:space="preserve">1982</x:t>
  </x:si>
  <x:si>
    <x:t xml:space="preserve">Effects of Drilling Mud on the Reef-Building Coral Montastrea annularis</x:t>
  </x:si>
  <x:si>
    <x:t xml:space="preserve">CWC-2CE5EB8EAB8A</x:t>
  </x:si>
  <x:si>
    <x:t xml:space="preserve">Effects of drilling mud on the reef-building coral Montastrea annularis</x:t>
  </x:si>
  <x:si>
    <x:t xml:space="preserve">Organism: coral; exposure/impact: drilling, drilling mud</x:t>
  </x:si>
  <x:si>
    <x:t xml:space="preserve">CSAS-098</x:t>
  </x:si>
  <x:si>
    <x:t xml:space="preserve">Sub-lethal effects of water-based drilling muds on the deep-water sponge Geodia barretti</x:t>
  </x:si>
  <x:si>
    <x:t xml:space="preserve">CWC-F2591A201364</x:t>
  </x:si>
  <x:si>
    <x:t xml:space="preserve">Organism: sponge, deep-water sponge; exposure/impact: drilling, drilling mud</x:t>
  </x:si>
  <x:si>
    <x:t xml:space="preserve">Validator example; confirmed present in the 43,307-record corpus but not selected for the 409-record calibration sample.</x:t>
  </x:si>
  <x:si>
    <x:t xml:space="preserve">CSAS-109</x:t>
  </x:si>
  <x:si>
    <x:t xml:space="preserve">2018</x:t>
  </x:si>
  <x:si>
    <x:t xml:space="preserve">Impact of particulate sediment, bentonite and barite (oil-drilling waste) on net fluxes of oxygen and nitrogen in Arctic-boreal sponges</x:t>
  </x:si>
  <x:si>
    <x:t xml:space="preserve">CWC-D962354BD236</x:t>
  </x:si>
  <x:si>
    <x:t xml:space="preserve">Organism: sponge; exposure/impact: sediment, drilling</x:t>
  </x:si>
  <x:si>
    <x:t xml:space="preserve">CSAS-128</x:t>
  </x:si>
  <x:si>
    <x:t xml:space="preserve">Long-term impact of the Deepwater Horizon oil spill on deep- sea corals detected after seven years of monitoring</x:t>
  </x:si>
  <x:si>
    <x:t xml:space="preserve">Organism: coral; exposure/impact: oil spill</x:t>
  </x:si>
  <x:si>
    <x:t xml:space="preserve">CSAS-130</x:t>
  </x:si>
  <x:si>
    <x:t xml:space="preserve">Suspended sediment causes feeding current arrests in situ in the glass sponge Aphrocallistes vastus</x:t>
  </x:si>
  <x:si>
    <x:t xml:space="preserve">CWC-3BA5EE36CD77</x:t>
  </x:si>
  <x:si>
    <x:t xml:space="preserve">CSAS-131</x:t>
  </x:si>
  <x:si>
    <x:t xml:space="preserve">2019</x:t>
  </x:si>
  <x:si>
    <x:t xml:space="preserve">Effect of suspended sediments on the pumping rates of three species of glass sponge in situ</x:t>
  </x:si>
  <x:si>
    <x:t xml:space="preserve">CWC-A892DB47932A</x:t>
  </x:si>
  <x:si>
    <x:t xml:space="preserve">CSAS-146</x:t>
  </x:si>
  <x:si>
    <x:t xml:space="preserve">Evidence of lasting impact of the Deepwater Horizon oil spill on a deep Gulf of Mexico coral community. Elementa:Sci</x:t>
  </x:si>
  <x:si>
    <x:t xml:space="preserve">CSAS-152</x:t>
  </x:si>
  <x:si>
    <x:t xml:space="preserve">2017</x:t>
  </x:si>
  <x:si>
    <x:t xml:space="preserve">Effects of drill cuttings on larvae of the cold- water coral Lophelia pertusa. Deep-Sea Res</x:t>
  </x:si>
  <x:si>
    <x:t xml:space="preserve">CWC-65CF36C85E16</x:t>
  </x:si>
  <x:si>
    <x:t xml:space="preserve">Effects of drill cuttings on larvae of the cold-water coral Lophelia pertusa</x:t>
  </x:si>
  <x:si>
    <x:t xml:space="preserve">Organism: coral, cold-water coral; exposure/impact: drilling, drill cuttings</x:t>
  </x:si>
  <x:si>
    <x:t xml:space="preserve">CSAS-153</x:t>
  </x:si>
  <x:si>
    <x:t xml:space="preserve">2020</x:t>
  </x:si>
  <x:si>
    <x:t xml:space="preserve">Effects and recovery of larvae of the cold-water coral Lophelia pertusa (Desmophyllum pertusum) exposed to suspended bentonite, barite and drill cuttings</x:t>
  </x:si>
  <x:si>
    <x:t xml:space="preserve">CWC-EDB1480675F9</x:t>
  </x:si>
  <x:si>
    <x:t xml:space="preserve">CSAS-175</x:t>
  </x:si>
  <x:si>
    <x:t xml:space="preserve">Metabolic response of the deep-water sponge Geodia barrette to suspended bottom sediment, simulated mine tailings and drill cuttings. J</x:t>
  </x:si>
  <x:si>
    <x:t xml:space="preserve">CWC-9D88361B731D</x:t>
  </x:si>
  <x:si>
    <x:t xml:space="preserve">Metabolic responses of the deep-water sponge Geodia barretti to suspended bottom sediment, simulated mine tailings and drill cuttings</x:t>
  </x:si>
  <x:si>
    <x:t xml:space="preserve">Organism: sponge, deep-water sponge; exposure/impact: sediment, drilling, drill cuttings</x:t>
  </x:si>
  <x:si>
    <x:t xml:space="preserve">Validator example; confirmed present in the full corpus but not selected for the 409-record calibration sample.</x:t>
  </x:si>
  <x:si>
    <x:t xml:space="preserve">CSAS-178</x:t>
  </x:si>
  <x:si>
    <x:t xml:space="preserve">Organism: coral, cold-water coral; exposure/impact: sediment, drilling, drill cuttings</x:t>
  </x:si>
  <x:si>
    <x:t xml:space="preserve">CSAS-179</x:t>
  </x:si>
  <x:si>
    <x:t xml:space="preserve">Tolerance to long-term exposure of suspended benthic sediments and drill cuttings in the cold-water coral Lophelia pertusa</x:t>
  </x:si>
  <x:si>
    <x:t xml:space="preserve">CWC-C69AD807E3BA</x:t>
  </x:si>
  <x:si>
    <x:t xml:space="preserve">CSAS-180</x:t>
  </x:si>
  <x:si>
    <x:t xml:space="preserve">2008</x:t>
  </x:si>
  <x:si>
    <x:t xml:space="preserve">Barite and barium in sediments and coral skeletons around the hydrocarbon exploration drilling site in the Træna Deep, Norwegian Sea</x:t>
  </x:si>
  <x:si>
    <x:t xml:space="preserve">CWC-908DE8E1A7FD</x:t>
  </x:si>
  <x:si>
    <x:t xml:space="preserve">Organism: coral; exposure/impact: sediment, drilling, hydrocarbon</x:t>
  </x:si>
  <x:si>
    <x:t xml:space="preserve">CSAS-183</x:t>
  </x:si>
  <x:si>
    <x:t xml:space="preserve">Eco-physiological responses of cold-water soft corals to anthropogenic sedimentation and particle shape. J</x:t>
  </x:si>
  <x:si>
    <x:t xml:space="preserve">CWC-76DBA2881C9F</x:t>
  </x:si>
  <x:si>
    <x:t xml:space="preserve">Eco-physiological responses of cold-water soft corals to anthropogenic sedimentation and particle shape</x:t>
  </x:si>
  <x:si>
    <x:t xml:space="preserve">Organism: coral; exposure/impact: sediment, particles</x:t>
  </x:si>
  <x:si>
    <x:t xml:space="preserve">CSAS-190</x:t>
  </x:si>
  <x:si>
    <x:t xml:space="preserve">Effects of sediment on the survival of asexually produced sponge recruits</x:t>
  </x:si>
  <x:si>
    <x:t xml:space="preserve">CWC-1EDA9D88322A</x:t>
  </x:si>
  <x:si>
    <x:t xml:space="preserve">CSAS-218</x:t>
  </x:si>
  <x:si>
    <x:t xml:space="preserve">Deep-water bamboo coral forests in a muddy Arctic environment</x:t>
  </x:si>
  <x:si>
    <x:t xml:space="preserve">CWC-8348819C8DEA</x:t>
  </x:si>
  <x:si>
    <x:t xml:space="preserve">Organism: coral; exposure/impact: drilling mud</x:t>
  </x:si>
  <x:si>
    <x:t xml:space="preserve">CSAS-243</x:t>
  </x:si>
  <x:si>
    <x:t xml:space="preserve">Appearance matters: sedimentation effects on different sponge morphologies. J</x:t>
  </x:si>
  <x:si>
    <x:t xml:space="preserve">CWC-1E8A06594C30</x:t>
  </x:si>
  <x:si>
    <x:t xml:space="preserve">Appearance matters: sedimentation effects on different sponge morphologies</x:t>
  </x:si>
  <x:si>
    <x:t xml:space="preserve">CSAS-247</x:t>
  </x:si>
  <x:si>
    <x:t xml:space="preserve">2014</x:t>
  </x:si>
  <x:si>
    <x:t xml:space="preserve">Sediment and Turbidity Associated with Offshore Dredging Increase Coral Disease Prevalence on Nearby Reefs</x:t>
  </x:si>
  <x:si>
    <x:t xml:space="preserve">CWC-11C8578A23E4</x:t>
  </x:si>
  <x:si>
    <x:t xml:space="preserve">Organism: coral; exposure/impact: sediment, turbidity</x:t>
  </x:si>
  <x:si>
    <x:t xml:space="preserve">CSAS-248</x:t>
  </x:si>
  <x:si>
    <x:t xml:space="preserve">Organism: cold-water coral; exposure/impact: drilling, drill cuttings</x:t>
  </x:si>
  <x:si>
    <x:t xml:space="preserve">CSAS-249</x:t>
  </x:si>
  <x:si>
    <x:t xml:space="preserve">Monitoring strategies for drill cutting discharge in the vicinity of cold-water coral ecosystems</x:t>
  </x:si>
  <x:si>
    <x:t xml:space="preserve">CWC-9BFC61A48726</x:t>
  </x:si>
  <x:si>
    <x:t xml:space="preserve">Organism: coral; exposure/impact: drilling, drill cuttings</x:t>
  </x:si>
  <x:si>
    <x:t xml:space="preserve">CSAS-269</x:t>
  </x:si>
  <x:si>
    <x:t xml:space="preserve">Asphyxiation by sedimentation? - a sponge’s perspective</x:t>
  </x:si>
  <x:si>
    <x:t xml:space="preserve">CSAS-287</x:t>
  </x:si>
  <x:si>
    <x:t xml:space="preserve">1980</x:t>
  </x:si>
  <x:si>
    <x:t xml:space="preserve">Effects of an offshore drilling fluid on selected corals</x:t>
  </x:si>
  <x:si>
    <x:t xml:space="preserve">CWC-9434EFF6C889</x:t>
  </x:si>
  <x:si>
    <x:t xml:space="preserve">Effects of an Offshore Drilling Mud on Selected Corals: ABSTRACT</x:t>
  </x:si>
  <x:si>
    <x:t xml:space="preserve">CSAS-289</x:t>
  </x:si>
  <x:si>
    <x:t xml:space="preserve">Rapid respiratory responses of the deep-water sponge Geodia barretti exposed to suspended sediments</x:t>
  </x:si>
  <x:si>
    <x:t xml:space="preserve">CWC-66237F4DDA16</x:t>
  </x:si>
  <x:si>
    <x:t xml:space="preserve">Organism: sponge, deep-water sponge; exposure/impact: sediment</x:t>
  </x:si>
  <x:si>
    <x:t xml:space="preserve">CSAS-291</x:t>
  </x:si>
  <x:si>
    <x:t xml:space="preserve">Glass sponge arrest pumping in response to sediment: implications for the physiology of the hexactinellid conduction system</x:t>
  </x:si>
  <x:si>
    <x:t xml:space="preserve">CWC-D47B9A6D53DA</x:t>
  </x:si>
  <x:si>
    <x:t xml:space="preserve">Glass sponges arrest pumping in response to sediment: implications for the physiology of the hexactinellid conduction system</x:t>
  </x:si>
  <x:si>
    <x:t xml:space="preserve">CSAS-307</x:t>
  </x:si>
  <x:si>
    <x:t xml:space="preserve">2006</x:t>
  </x:si>
  <x:si>
    <x:t xml:space="preserve">Sedimentation stress in a scleractinian coral exposed to terrestrial and marine sediments with contrasting physical, organic and geochemical properties. J</x:t>
  </x:si>
  <x:si>
    <x:t xml:space="preserve">CWC-29A471B9BFF1</x:t>
  </x:si>
  <x:si>
    <x:t xml:space="preserve">Sedimentation stress in a scleractinian coral exposed to terrestrial and marine sediments with contrasting physical, organic and geochemical properties</x:t>
  </x:si>
  <x:si>
    <x:t xml:space="preserve">Organism: coral; exposure/impact: sediment</x:t>
  </x:si>
  <x:si>
    <x:t xml:space="preserve">CSAS-311</x:t>
  </x:si>
  <x:si>
    <x:t xml:space="preserve">Impact of the Deepwater Horizon oil spill on a deep-water coral community in the Gulf of Mexico</x:t>
  </x:si>
  <x:si>
    <x:t xml:space="preserve">CWC-6504F386F1B3</x:t>
  </x:si>
  <x:si>
    <x:t xml:space="preserve">Impact of the &lt;i&gt;Deepwater Horizon&lt;/i&gt; oil spill on a deep-water coral community in the Gulf of Mexico</x:t>
  </x:si>
  <x:si>
    <x:t xml:space="preserve">Stage 5 Search and Calibration Remediation Plan</x:t>
  </x:si>
  <x:si>
    <x:t xml:space="preserve">Preserve the frozen Stage 4 search. Add a separately logged supplementary layer, then rebuild and revalidate the calibration set.</x:t>
  </x:si>
  <x:si>
    <x:t xml:space="preserve">ID</x:t>
  </x:si>
  <x:si>
    <x:t xml:space="preserve">Work item</x:t>
  </x:si>
  <x:si>
    <x:t xml:space="preserve">Status</x:t>
  </x:si>
  <x:si>
    <x:t xml:space="preserve">Why</x:t>
  </x:si>
  <x:si>
    <x:t xml:space="preserve">Action / evidence</x:t>
  </x:si>
  <x:si>
    <x:t xml:space="preserve">Completion criterion</x:t>
  </x:si>
  <x:si>
    <x:t xml:space="preserve">S5-01</x:t>
  </x:si>
  <x:si>
    <x:t xml:space="preserve">Reconcile corrected Covidence exports</x:t>
  </x:si>
  <x:si>
    <x:t xml:space="preserve">COMPLETE</x:t>
  </x:si>
  <x:si>
    <x:t xml:space="preserve">Establish an authoritative human-label baseline.</x:t>
  </x:si>
  <x:si>
    <x:t xml:space="preserve">407 unique records; RIS exports partition all 407; decisions = 12 YES, 13 MAYBE, 382 NO.</x:t>
  </x:si>
  <x:si>
    <x:t xml:space="preserve">Counts and identifiers reconcile.</x:t>
  </x:si>
  <x:si>
    <x:t xml:space="preserve">S5-02</x:t>
  </x:si>
  <x:si>
    <x:t xml:space="preserve">Resolve three export inconsistencies</x:t>
  </x:si>
  <x:si>
    <x:t xml:space="preserve">WAITING REVIEWER</x:t>
  </x:si>
  <x:si>
    <x:t xml:space="preserve">Three records are selected in RIS but NO in the CSV.</x:t>
  </x:si>
  <x:si>
    <x:t xml:space="preserve">Reviewer confirms FU-13 to FU-15 in the follow-up sheet.</x:t>
  </x:si>
  <x:si>
    <x:t xml:space="preserve">No unresolved selected-RIS / CSV conflict.</x:t>
  </x:si>
  <x:si>
    <x:t xml:space="preserve">S5-03</x:t>
  </x:si>
  <x:si>
    <x:t xml:space="preserve">Convert YES records to locked four-way scheme</x:t>
  </x:si>
  <x:si>
    <x:t xml:space="preserve">Three-way Covidence labels cannot directly satisfy the protocol.</x:t>
  </x:si>
  <x:si>
    <x:t xml:space="preserve">Reviewer assigns CORE_INCLUDE or TRANSFERABLE_MECHANISM, or corrects to EXCLUDE/UNCERTAIN.</x:t>
  </x:si>
  <x:si>
    <x:t xml:space="preserve">All 12 current YES rows have a final category.</x:t>
  </x:si>
  <x:si>
    <x:t xml:space="preserve">S5-04</x:t>
  </x:si>
  <x:si>
    <x:t xml:space="preserve">Audit CSAS priority references</x:t>
  </x:si>
  <x:si>
    <x:t xml:space="preserve">Separate calibration-sampling concerns from true search-corpus gaps.</x:t>
  </x:si>
  <x:si>
    <x:t xml:space="preserve">28 of 32 priority references matched; all three validator examples are present in the full corpus.</x:t>
  </x:si>
  <x:si>
    <x:t xml:space="preserve">Priority audit is documented and reproducible.</x:t>
  </x:si>
  <x:si>
    <x:t xml:space="preserve">S5-05</x:t>
  </x:si>
  <x:si>
    <x:t xml:space="preserve">Manually verify four unmatched priority references</x:t>
  </x:si>
  <x:si>
    <x:t xml:space="preserve">PENDING</x:t>
  </x:si>
  <x:si>
    <x:t xml:space="preserve">Automated non-match is not proof of absence.</x:t>
  </x:si>
  <x:si>
    <x:t xml:space="preserve">Check title variants, reports/theses, publication-year differences, and DOI/author metadata.</x:t>
  </x:si>
  <x:si>
    <x:t xml:space="preserve">Each item is confirmed present, added, or documented out of scope/unavailable.</x:t>
  </x:si>
  <x:si>
    <x:t xml:space="preserve">S5-06</x:t>
  </x:si>
  <x:si>
    <x:t xml:space="preserve">Run a supplementary sponge/drilling search</x:t>
  </x:si>
  <x:si>
    <x:t xml:space="preserve">The frozen organism block did not include bare sponge* or exact deep-water sponge phrases.</x:t>
  </x:si>
  <x:si>
    <x:t xml:space="preserve">Run the logged add-on query below in Web of Science, OpenAlex, Semantic Scholar, and targeted grey sources.</x:t>
  </x:si>
  <x:si>
    <x:t xml:space="preserve">All exports, dates, counts, and query strings are logged.</x:t>
  </x:si>
  <x:si>
    <x:t xml:space="preserve">S5-07</x:t>
  </x:si>
  <x:si>
    <x:t xml:space="preserve">Citation-chain verified seeds</x:t>
  </x:si>
  <x:si>
    <x:t xml:space="preserve">Known relevant sources are efficient anchors for remediation.</x:t>
  </x:si>
  <x:si>
    <x:t xml:space="preserve">Backward and forward chain the CSAS document, the three validator examples, and any confirmed unmatched priority references.</x:t>
  </x:si>
  <x:si>
    <x:t xml:space="preserve">All unique additions carry provenance and seed IDs.</x:t>
  </x:si>
  <x:si>
    <x:t xml:space="preserve">S5-08</x:t>
  </x:si>
  <x:si>
    <x:t xml:space="preserve">Deduplicate and append without altering the frozen corpus</x:t>
  </x:si>
  <x:si>
    <x:t xml:space="preserve">Preserve reproducibility and avoid overwriting Stage 4 evidence.</x:t>
  </x:si>
  <x:si>
    <x:t xml:space="preserve">Append a supplementary layer; deduplicate first by DOI, then guarded normalized-title logic.</x:t>
  </x:si>
  <x:si>
    <x:t xml:space="preserve">Supplementary records and dedupe decisions are auditable.</x:t>
  </x:si>
  <x:si>
    <x:t xml:space="preserve">S5-09</x:t>
  </x:si>
  <x:si>
    <x:t xml:space="preserve">Rebuild the calibration and benchmark set</x:t>
  </x:si>
  <x:si>
    <x:t xml:space="preserve">The current 409 records are not a comprehensive evidence list and underrepresent positives.</x:t>
  </x:si>
  <x:si>
    <x:t xml:space="preserve">Retain locked benchmark identities, add targeted positives as a separate sensitivity set, and regenerate the import files.</x:t>
  </x:si>
  <x:si>
    <x:t xml:space="preserve">Blinded calibration and key files reconcile.</x:t>
  </x:si>
  <x:si>
    <x:t xml:space="preserve">S5-10</x:t>
  </x:si>
  <x:si>
    <x:t xml:space="preserve">Rerun QA gate and freeze Stage 5 outputs</x:t>
  </x:si>
  <x:si>
    <x:t xml:space="preserve">No stage transition before the gate is defensible.</x:t>
  </x:si>
  <x:si>
    <x:t xml:space="preserve">Recalculate agreement/recall, resolve failures prospectively, archive logs, and update the Stage 5 report.</x:t>
  </x:si>
  <x:si>
    <x:t xml:space="preserve">Gate result, caveats, and frozen checksums are recorded.</x:t>
  </x:si>
  <x:si>
    <x:t xml:space="preserve">Proposed supplementary database query (adapt syntax per platform)</x:t>
  </x:si>
  <x:si>
    <x:t xml:space="preserve">(sponge* OR porifer* OR demosponge* OR hexactinellid* OR "glass sponge*" OR "deep-water sponge*" OR "deep-sea sponge*" OR Geodia)
AND (sediment* OR "suspended sediment*" OR "drill cutting*" OR "drilling mud*" OR "drilling waste*" OR bentonite OR barite OR tailing* OR plume* OR burial OR smother*)
AND ("deep water" OR "deep-water" OR "deep sea" OR "deep-sea" OR "cold water" OR "cold-water" OR bathyal OR abyssal OR offshore)</x:t>
  </x:si>
  <x:si>
    <x:t xml:space="preserve">Control: do not replace the frozen Stage 4 query or corpus. Log this as a supplementary remediation layer with its own search date, platform, result count, export filename, and provenance.</x:t>
  </x:si>
  <x:si>
    <x:t xml:space="preserve">Data Notes and Provenance</x:t>
  </x:si>
  <x:si>
    <x:t xml:space="preserve">Sources, interpretation rules, and limitations used to build this packet.</x:t>
  </x:si>
  <x:si>
    <x:t xml:space="preserve">Topic</x:t>
  </x:si>
  <x:si>
    <x:t xml:space="preserve">Source / method</x:t>
  </x:si>
  <x:si>
    <x:t xml:space="preserve">Corrected decisions</x:t>
  </x:si>
  <x:si>
    <x:t xml:space="preserve">407 records</x:t>
  </x:si>
  <x:si>
    <x:t xml:space="preserve">Covidence_calibration_407_with_decisions.csv</x:t>
  </x:si>
  <x:si>
    <x:t xml:space="preserve">CSV decisions treated as authoritative pending reviewer confirmation.</x:t>
  </x:si>
  <x:si>
    <x:t xml:space="preserve">RIS partition</x:t>
  </x:si>
  <x:si>
    <x:t xml:space="preserve">379 irrelevant + 28 selected</x:t>
  </x:si>
  <x:si>
    <x:t xml:space="preserve">Two corrected EndNote RIS exports</x:t>
  </x:si>
  <x:si>
    <x:t xml:space="preserve">Exports are disjoint and cover all 407 accessions.</x:t>
  </x:si>
  <x:si>
    <x:t xml:space="preserve">Calibration sampling</x:t>
  </x:si>
  <x:si>
    <x:t xml:space="preserve">400 sampled + 9 benchmarks</x:t>
  </x:si>
  <x:si>
    <x:t xml:space="preserve">Authoritative Stage 5 calibration QA</x:t>
  </x:si>
  <x:si>
    <x:t xml:space="preserve">The 409-record import was never intended to contain every relevant paper.</x:t>
  </x:si>
  <x:si>
    <x:t xml:space="preserve">Full candidate corpus</x:t>
  </x:si>
  <x:si>
    <x:t xml:space="preserve">43,307 records</x:t>
  </x:si>
  <x:si>
    <x:t xml:space="preserve">Stage 4 candidate_corpus.csv at commit 9fcb4f3834cbb15c43ac8a1f23dab6142e68185d</x:t>
  </x:si>
  <x:si>
    <x:t xml:space="preserve">Use this corpus—not the 409 calibration sample—to evaluate search recovery.</x:t>
  </x:si>
  <x:si>
    <x:t xml:space="preserve">CSAS document</x:t>
  </x:si>
  <x:si>
    <x:t xml:space="preserve">Research Document 2022/059</x:t>
  </x:si>
  <x:si>
    <x:t xml:space="preserve">Government of Canada catalogue: https://publications.gc.ca/site/eng/9.914892/publication.html</x:t>
  </x:si>
  <x:si>
    <x:t xml:space="preserve">Reference section parsed from the supplied official PDF.</x:t>
  </x:si>
  <x:si>
    <x:t xml:space="preserve">CSAS matching</x:t>
  </x:si>
  <x:si>
    <x:t xml:space="preserve">Normalized title containment or token similarity ≥0.84</x:t>
  </x:si>
  <x:si>
    <x:t xml:space="preserve">Candidate publication year ±1</x:t>
  </x:si>
  <x:si>
    <x:t xml:space="preserve">Near-year matching handles online-first versus issue-year differences.</x:t>
  </x:si>
  <x:si>
    <x:t xml:space="preserve">Validator example: Larsson et al. 2013</x:t>
  </x:si>
  <x:si>
    <x:t xml:space="preserve">CWC-C69AD807E3BA; DOI 10.1016/j.marpolbul.2013.02.033</x:t>
  </x:si>
  <x:si>
    <x:t xml:space="preserve">Missing from calibration sample, not from search corpus.</x:t>
  </x:si>
  <x:si>
    <x:t xml:space="preserve">Validator example: Kutti et al. 2015</x:t>
  </x:si>
  <x:si>
    <x:t xml:space="preserve">CWC-9D88361B731D; DOI 10.1016/j.jembe.2015.07.017</x:t>
  </x:si>
  <x:si>
    <x:t xml:space="preserve">Validator example: Edge et al. 2016</x:t>
  </x:si>
  <x:si>
    <x:t xml:space="preserve">CWC-F2591A201364; DOI 10.1016/j.envpol.2016.02.047</x:t>
  </x:si>
  <x:si>
    <x:t xml:space="preserve">Recovered by citation chaining; missing from calibration sample, not from search corpus.</x:t>
  </x:si>
  <x:si>
    <x:t xml:space="preserve">Automated audit limitation</x:t>
  </x:si>
  <x:si>
    <x:t xml:space="preserve">4 priority non-matches</x:t>
  </x:si>
  <x:si>
    <x:t xml:space="preserve">See CSAS Priority Audit</x:t>
  </x:si>
  <x:si>
    <x:t xml:space="preserve">These are candidates for manual verification, not yet confirmed search failures.</x:t>
  </x:si>
  <x:si>
    <x:t xml:space="preserve">Gate limitation</x:t>
  </x:si>
  <x:si>
    <x:t xml:space="preserve">Only 2 YES records in locked validation</x:t>
  </x:si>
  <x:si>
    <x:t xml:space="preserve">Human decision export mapped to sample strata</x:t>
  </x:si>
  <x:si>
    <x:t xml:space="preserve">A 95% recall estimate is unstable; retain the locked set and report uncertainty or add a separate sensitivity set.</x:t>
  </x:si>
</x:sst>
</file>

<file path=xl/styles.xml><?xml version="1.0" encoding="utf-8"?>
<x:styleSheet xmlns:x="http://schemas.openxmlformats.org/spreadsheetml/2006/main">
  <x:numFmts count="1">
    <x:numFmt numFmtId="164" formatCode="0.000"/>
  </x:numFmts>
  <x:fonts count="11">
    <x:font>
      <x:sz val="11"/>
      <x:name val="Carlito"/>
    </x:font>
    <x:font>
      <x:b/>
      <x:sz val="18"/>
      <x:color rgb="FFFFFFFF"/>
      <x:name val="Carlito"/>
    </x:font>
    <x:font>
      <x:i/>
      <x:sz val="11"/>
      <x:color rgb="FF1F2937"/>
      <x:name val="Carlito"/>
    </x:font>
    <x:font>
      <x:b/>
      <x:sz val="11"/>
      <x:color rgb="FFFFFFFF"/>
      <x:name val="Carlito"/>
    </x:font>
    <x:font>
      <x:sz val="10"/>
      <x:color rgb="FF1F2937"/>
      <x:name val="Carlito"/>
    </x:font>
    <x:font>
      <x:b/>
      <x:sz val="11"/>
      <x:name val="Carlito"/>
    </x:font>
    <x:font>
      <x:b/>
      <x:sz val="10"/>
      <x:color rgb="FF1F2937"/>
      <x:name val="Carlito"/>
    </x:font>
    <x:font>
      <x:b/>
      <x:sz val="10"/>
      <x:color rgb="FF9C0006"/>
      <x:name val="Carlito"/>
    </x:font>
    <x:font>
      <x:b/>
      <x:sz val="10"/>
      <x:color rgb="FF375623"/>
      <x:name val="Carlito"/>
    </x:font>
    <x:font>
      <x:sz val="10"/>
      <x:name val="Consolas"/>
    </x:font>
    <x:font>
      <x:b/>
      <x:sz val="11"/>
      <x:color rgb="FF9C0006"/>
      <x:name val="Carlito"/>
    </x:font>
  </x:fonts>
  <x:fills count="11">
    <x:fill>
      <x:patternFill patternType="none"/>
    </x:fill>
    <x:fill>
      <x:patternFill patternType="gray125"/>
    </x:fill>
    <x:fill>
      <x:patternFill patternType="solid">
        <x:fgColor rgb="FF17365D"/>
      </x:patternFill>
    </x:fill>
    <x:fill>
      <x:patternFill patternType="solid">
        <x:fgColor rgb="FFDDEBF7"/>
      </x:patternFill>
    </x:fill>
    <x:fill>
      <x:patternFill patternType="solid">
        <x:fgColor rgb="FF0F6B78"/>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F4CCCC"/>
      </x:patternFill>
    </x:fill>
    <x:fill>
      <x:patternFill patternType="solid">
        <x:fgColor rgb="FFF3F6F8"/>
      </x:patternFill>
    </x:fill>
    <x:fill>
      <x:patternFill patternType="solid">
        <x:fgColor rgb="FFD9EAF7"/>
      </x:patternFill>
    </x:fill>
  </x:fills>
  <x:borders count="10">
    <x:border/>
    <x:border>
      <x:left style="thin">
        <x:color rgb="FFC9D2DB"/>
      </x:left>
      <x:top style="thin">
        <x:color rgb="FFC9D2DB"/>
      </x:top>
    </x:border>
    <x:border>
      <x:top style="thin">
        <x:color rgb="FFC9D2DB"/>
      </x:top>
    </x:border>
    <x:border>
      <x:right style="thin">
        <x:color rgb="FFC9D2DB"/>
      </x:right>
      <x:top style="thin">
        <x:color rgb="FFC9D2DB"/>
      </x:top>
    </x:border>
    <x:border>
      <x:left style="thin">
        <x:color rgb="FFC9D2DB"/>
      </x:left>
      <x:bottom style="thin">
        <x:color rgb="FFC9D2DB"/>
      </x:bottom>
    </x:border>
    <x:border>
      <x:bottom style="thin">
        <x:color rgb="FFC9D2DB"/>
      </x:bottom>
    </x:border>
    <x:border>
      <x:right style="thin">
        <x:color rgb="FFC9D2DB"/>
      </x:right>
      <x:bottom style="thin">
        <x:color rgb="FFC9D2DB"/>
      </x:bottom>
    </x:border>
    <x:border>
      <x:left style="thin">
        <x:color rgb="FFC9D2DB"/>
      </x:left>
      <x:right style="thin">
        <x:color rgb="FFC9D2DB"/>
      </x:right>
      <x:top style="thin">
        <x:color rgb="FFC9D2DB"/>
      </x:top>
      <x:bottom style="thin">
        <x:color rgb="FFC9D2DB"/>
      </x:bottom>
    </x:border>
    <x:border>
      <x:left style="thin">
        <x:color rgb="FFC9D2DB"/>
      </x:left>
    </x:border>
    <x:border>
      <x:right style="thin">
        <x:color rgb="FFC9D2DB"/>
      </x:right>
    </x:border>
  </x:borders>
  <x:cellStyleXfs count="1">
    <x:xf numFmtId="0" fontId="0" fillId="0" borderId="0"/>
  </x:cellStyleXfs>
  <x:cellXfs count="33">
    <x:xf numFmtId="0" fontId="0" fillId="0" borderId="0" xfId="0"/>
    <x:xf numFmtId="0" fontId="3" fillId="4" borderId="7" xfId="0" applyFont="1" applyFill="1" applyBorder="1" applyAlignment="1">
      <x:alignment vertical="center" wrapText="1"/>
    </x:xf>
    <x:xf numFmtId="0" fontId="4" fillId="0" borderId="7" xfId="0" applyFont="1" applyBorder="1" applyAlignment="1">
      <x:alignment vertical="top" wrapText="1"/>
    </x:xf>
    <x:xf numFmtId="0" fontId="4" fillId="6" borderId="7" xfId="0" applyFont="1" applyFill="1" applyBorder="1" applyAlignment="1">
      <x:alignment vertical="top" wrapText="1"/>
    </x:xf>
    <x:xf numFmtId="0" fontId="6" fillId="0" borderId="7" xfId="0" applyFont="1" applyBorder="1" applyAlignment="1">
      <x:alignment horizontal="center" vertical="center" wrapText="1"/>
    </x:xf>
    <x:xf numFmtId="1" fontId="4" fillId="0" borderId="7" xfId="0" applyNumberFormat="1" applyFont="1" applyBorder="1" applyAlignment="1">
      <x:alignment vertical="top" wrapText="1"/>
    </x:xf>
    <x:xf numFmtId="0" fontId="7" fillId="7" borderId="7" xfId="0" applyFont="1" applyFill="1" applyBorder="1" applyAlignment="1">
      <x:alignment vertical="top" wrapText="1"/>
    </x:xf>
    <x:xf numFmtId="0" fontId="8" fillId="5" borderId="7" xfId="0" applyFont="1" applyFill="1" applyBorder="1" applyAlignment="1">
      <x:alignment horizontal="center" vertical="top" wrapText="1"/>
    </x:xf>
    <x:xf numFmtId="0" fontId="7" fillId="8" borderId="7" xfId="0" applyFont="1" applyFill="1" applyBorder="1" applyAlignment="1">
      <x:alignment horizontal="center" vertical="top" wrapText="1"/>
    </x:xf>
    <x:xf numFmtId="164" fontId="4" fillId="0" borderId="7" xfId="0" applyNumberFormat="1" applyFont="1" applyBorder="1" applyAlignment="1">
      <x:alignment vertical="top" wrapText="1"/>
    </x:xf>
    <x:xf numFmtId="0" fontId="6" fillId="5" borderId="7" xfId="0" applyFont="1" applyFill="1" applyBorder="1" applyAlignment="1">
      <x:alignment horizontal="center" vertical="top" wrapText="1"/>
    </x:xf>
    <x:xf numFmtId="0" fontId="6" fillId="6" borderId="7" xfId="0" applyFont="1" applyFill="1" applyBorder="1" applyAlignment="1">
      <x:alignment horizontal="center" vertical="top" wrapText="1"/>
    </x:xf>
    <x:xf numFmtId="0" fontId="6" fillId="9" borderId="7" xfId="0" applyFont="1" applyFill="1" applyBorder="1" applyAlignment="1">
      <x:alignment horizontal="center" vertical="top" wrapText="1"/>
    </x:xf>
    <x:xf numFmtId="0" fontId="1" fillId="2" borderId="0" xfId="0" applyFont="1" applyFill="1" applyAlignment="1">
      <x:alignment vertical="center"/>
    </x:xf>
    <x:xf numFmtId="0" fontId="2" fillId="3" borderId="0" xfId="0" applyFont="1" applyFill="1" applyAlignment="1">
      <x:alignment vertical="center" wrapText="1"/>
    </x:xf>
    <x:xf numFmtId="0" fontId="5" fillId="6" borderId="0" xfId="0" applyFont="1" applyFill="1" applyAlignment="1">
      <x:alignment wrapText="1"/>
    </x:xf>
    <x:xf numFmtId="0" fontId="3" fillId="4" borderId="0" xfId="0" applyFont="1" applyFill="1"/>
    <x:xf numFmtId="0" fontId="0" fillId="5" borderId="1" xfId="0" applyFill="1" applyBorder="1" applyAlignment="1">
      <x:alignment vertical="center" wrapText="1"/>
    </x:xf>
    <x:xf numFmtId="0" fontId="0" fillId="5" borderId="2" xfId="0" applyFill="1" applyBorder="1" applyAlignment="1">
      <x:alignment vertical="center" wrapText="1"/>
    </x:xf>
    <x:xf numFmtId="0" fontId="0" fillId="5" borderId="3" xfId="0" applyFill="1" applyBorder="1" applyAlignment="1">
      <x:alignment vertical="center" wrapText="1"/>
    </x:xf>
    <x:xf numFmtId="0" fontId="0" fillId="5" borderId="4" xfId="0" applyFill="1" applyBorder="1" applyAlignment="1">
      <x:alignment vertical="center" wrapText="1"/>
    </x:xf>
    <x:xf numFmtId="0" fontId="0" fillId="5" borderId="5" xfId="0" applyFill="1" applyBorder="1" applyAlignment="1">
      <x:alignment vertical="center" wrapText="1"/>
    </x:xf>
    <x:xf numFmtId="0" fontId="0" fillId="5" borderId="6" xfId="0" applyFill="1" applyBorder="1" applyAlignment="1">
      <x:alignment vertical="center" wrapText="1"/>
    </x:xf>
    <x:xf numFmtId="0" fontId="9" fillId="10" borderId="1" xfId="0" applyFont="1" applyFill="1" applyBorder="1" applyAlignment="1">
      <x:alignment vertical="center" wrapText="1"/>
    </x:xf>
    <x:xf numFmtId="0" fontId="9" fillId="10" borderId="2" xfId="0" applyFont="1" applyFill="1" applyBorder="1" applyAlignment="1">
      <x:alignment vertical="center" wrapText="1"/>
    </x:xf>
    <x:xf numFmtId="0" fontId="9" fillId="10" borderId="3" xfId="0" applyFont="1" applyFill="1" applyBorder="1" applyAlignment="1">
      <x:alignment vertical="center" wrapText="1"/>
    </x:xf>
    <x:xf numFmtId="0" fontId="9" fillId="10" borderId="8" xfId="0" applyFont="1" applyFill="1" applyBorder="1" applyAlignment="1">
      <x:alignment vertical="center" wrapText="1"/>
    </x:xf>
    <x:xf numFmtId="0" fontId="9" fillId="10" borderId="0" xfId="0" applyFont="1" applyFill="1" applyAlignment="1">
      <x:alignment vertical="center" wrapText="1"/>
    </x:xf>
    <x:xf numFmtId="0" fontId="9" fillId="10" borderId="9" xfId="0" applyFont="1" applyFill="1" applyBorder="1" applyAlignment="1">
      <x:alignment vertical="center" wrapText="1"/>
    </x:xf>
    <x:xf numFmtId="0" fontId="9" fillId="10" borderId="4" xfId="0" applyFont="1" applyFill="1" applyBorder="1" applyAlignment="1">
      <x:alignment vertical="center" wrapText="1"/>
    </x:xf>
    <x:xf numFmtId="0" fontId="9" fillId="10" borderId="5" xfId="0" applyFont="1" applyFill="1" applyBorder="1" applyAlignment="1">
      <x:alignment vertical="center" wrapText="1"/>
    </x:xf>
    <x:xf numFmtId="0" fontId="9" fillId="10" borderId="6" xfId="0" applyFont="1" applyFill="1" applyBorder="1" applyAlignment="1">
      <x:alignment vertical="center" wrapText="1"/>
    </x:xf>
    <x:xf numFmtId="0" fontId="10" fillId="7" borderId="0" xfId="0" applyFont="1" applyFill="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3d8777bec84fc7" /><Relationship Type="http://schemas.openxmlformats.org/officeDocument/2006/relationships/theme" Target="/xl/theme/theme1.xml" Id="R0bc869a7a70f4db0" /><Relationship Type="http://schemas.openxmlformats.org/officeDocument/2006/relationships/sharedStrings" Target="/xl/sharedStrings.xml" Id="R35c755c4bb3449de" /><Relationship Type="http://schemas.openxmlformats.org/officeDocument/2006/relationships/worksheet" Target="/xl/worksheets/sheet1.xml" Id="R15f8f16acac5401f" /><Relationship Type="http://schemas.openxmlformats.org/officeDocument/2006/relationships/worksheet" Target="/xl/worksheets/sheet2.xml" Id="R7f4338e06c084176" /><Relationship Type="http://schemas.openxmlformats.org/officeDocument/2006/relationships/worksheet" Target="/xl/worksheets/sheet3.xml" Id="Rfd84628f50394ea1" /><Relationship Type="http://schemas.openxmlformats.org/officeDocument/2006/relationships/worksheet" Target="/xl/worksheets/sheet4.xml" Id="Raa3ef22149c744ff" /><Relationship Type="http://schemas.openxmlformats.org/officeDocument/2006/relationships/worksheet" Target="/xl/worksheets/sheet5.xml" Id="Rbe1a81386eee4bb0" /><Relationship Type="http://schemas.openxmlformats.org/officeDocument/2006/relationships/worksheet" Target="/xl/worksheets/sheet6.xml" Id="Rec0e492b566c4a75" /></Relationships>
</file>

<file path=xl/tables/table1.xml><?xml version="1.0" encoding="utf-8"?>
<x:table xmlns:x="http://schemas.openxmlformats.org/spreadsheetml/2006/main" id="1" name="ReviewerFollowupTable" displayName="ReviewerFollowupTable" ref="A5:O20" totalsRowShown="0">
  <x:tableColumns count="15">
    <x:tableColumn id="1" name="followup_id"/>
    <x:tableColumn id="2" name="corpus_id"/>
    <x:tableColumn id="3" name="title"/>
    <x:tableColumn id="4" name="authors"/>
    <x:tableColumn id="5" name="year"/>
    <x:tableColumn id="6" name="source"/>
    <x:tableColumn id="7" name="doi"/>
    <x:tableColumn id="8" name="url"/>
    <x:tableColumn id="9" name="abstract"/>
    <x:tableColumn id="10" name="current_decision"/>
    <x:tableColumn id="11" name="followup_reason"/>
    <x:tableColumn id="12" name="final_category"/>
    <x:tableColumn id="13" name="confirmed_decision"/>
    <x:tableColumn id="14" name="reviewer_note"/>
    <x:tableColumn id="15" name="review_status"/>
  </x:tableColumns>
  <x:tableStyleInfo name="TableStyleMedium2" showFirstColumn="0" showLastColumn="0" showRowStripes="1" showColumnStripes="0"/>
</x:table>
</file>

<file path=xl/tables/table2.xml><?xml version="1.0" encoding="utf-8"?>
<x:table xmlns:x="http://schemas.openxmlformats.org/spreadsheetml/2006/main" id="2" name="CalibrationSummaryTable" displayName="CalibrationSummaryTable" ref="A5:C19" totalsRowShown="0">
  <x:tableColumns count="3">
    <x:tableColumn id="1" name="Metric"/>
    <x:tableColumn id="2" name="Value"/>
    <x:tableColumn id="3" name="Interpretation"/>
  </x:tableColumns>
  <x:tableStyleInfo name="TableStyleMedium2" showFirstColumn="0" showLastColumn="0" showRowStripes="1" showColumnStripes="0"/>
</x:table>
</file>

<file path=xl/tables/table3.xml><?xml version="1.0" encoding="utf-8"?>
<x:table xmlns:x="http://schemas.openxmlformats.org/spreadsheetml/2006/main" id="3" name="CsasPriorityAuditTable" displayName="CsasPriorityAuditTable" ref="A5:I37" totalsRowShown="0">
  <x:tableColumns count="9">
    <x:tableColumn id="1" name="reference_id"/>
    <x:tableColumn id="2" name="year"/>
    <x:tableColumn id="3" name="CSAS title"/>
    <x:tableColumn id="4" name="corpus_status"/>
    <x:tableColumn id="5" name="matched_corpus_id"/>
    <x:tableColumn id="6" name="matched_corpus_title"/>
    <x:tableColumn id="7" name="match_score"/>
    <x:tableColumn id="8" name="priority_reason"/>
    <x:tableColumn id="9" name="audit_note"/>
  </x:tableColumns>
  <x:tableStyleInfo name="TableStyleMedium2" showFirstColumn="0" showLastColumn="0" showRowStripes="1" showColumnStripes="0"/>
</x:table>
</file>

<file path=xl/tables/table4.xml><?xml version="1.0" encoding="utf-8"?>
<x:table xmlns:x="http://schemas.openxmlformats.org/spreadsheetml/2006/main" id="4" name="Stage5RemediationTable" displayName="Stage5RemediationTable" ref="A5:F15" totalsRowShown="0">
  <x:tableColumns count="6">
    <x:tableColumn id="1" name="ID"/>
    <x:tableColumn id="2" name="Work item"/>
    <x:tableColumn id="3" name="Status"/>
    <x:tableColumn id="4" name="Why"/>
    <x:tableColumn id="5" name="Action / evidence"/>
    <x:tableColumn id="6" name="Completion criterion"/>
  </x:tableColumns>
  <x:tableStyleInfo name="TableStyleMedium2" showFirstColumn="0" showLastColumn="0" showRowStripes="1" showColumnStripes="0"/>
</x:table>
</file>

<file path=xl/tables/table5.xml><?xml version="1.0" encoding="utf-8"?>
<x:table xmlns:x="http://schemas.openxmlformats.org/spreadsheetml/2006/main" id="5" name="DataNotesTable" displayName="DataNotesTable" ref="A5:D16" totalsRowShown="0">
  <x:tableColumns count="4">
    <x:tableColumn id="1" name="Topic"/>
    <x:tableColumn id="2" name="Value"/>
    <x:tableColumn id="3" name="Source / method"/>
    <x:tableColumn id="4" name="Interpret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1074c219e7d4a2f" /></Relationships>
</file>

<file path=xl/worksheets/_rels/sheet3.xml.rels>&#65279;<?xml version="1.0" encoding="utf-8"?><Relationships xmlns="http://schemas.openxmlformats.org/package/2006/relationships"><Relationship Type="http://schemas.openxmlformats.org/officeDocument/2006/relationships/table" Target="/xl/tables/table2.xml" Id="R5dbc5816de65462f" /></Relationships>
</file>

<file path=xl/worksheets/_rels/sheet4.xml.rels>&#65279;<?xml version="1.0" encoding="utf-8"?><Relationships xmlns="http://schemas.openxmlformats.org/package/2006/relationships"><Relationship Type="http://schemas.openxmlformats.org/officeDocument/2006/relationships/table" Target="/xl/tables/table3.xml" Id="Rb36a1570849440f3" /></Relationships>
</file>

<file path=xl/worksheets/_rels/sheet5.xml.rels>&#65279;<?xml version="1.0" encoding="utf-8"?><Relationships xmlns="http://schemas.openxmlformats.org/package/2006/relationships"><Relationship Type="http://schemas.openxmlformats.org/officeDocument/2006/relationships/table" Target="/xl/tables/table4.xml" Id="R7f54be8555c34a89" /></Relationships>
</file>

<file path=xl/worksheets/_rels/sheet6.xml.rels>&#65279;<?xml version="1.0" encoding="utf-8"?><Relationships xmlns="http://schemas.openxmlformats.org/package/2006/relationships"><Relationship Type="http://schemas.openxmlformats.org/officeDocument/2006/relationships/table" Target="/xl/tables/table5.xml" Id="R50c1a5dd3d30468b" /></Relationships>
</file>

<file path=xl/worksheets/sheet1.xml><?xml version="1.0" encoding="utf-8"?>
<x:worksheet xmlns:x="http://schemas.openxmlformats.org/spreadsheetml/2006/main">
  <x:sheetViews>
    <x:sheetView showGridLines="0" workbookViewId="0"/>
  </x:sheetViews>
  <x:sheetFormatPr defaultRowHeight="14.5"/>
  <x:cols>
    <x:col min="1" max="1" width="25" customWidth="1"/>
    <x:col min="2" max="2" width="48" customWidth="1"/>
    <x:col min="3" max="3" width="36" customWidth="1"/>
    <x:col min="4" max="4" width="22" customWidth="1"/>
    <x:col min="5" max="5" width="34" customWidth="1"/>
    <x:col min="6" max="6" width="40" customWidth="1"/>
  </x:cols>
  <x:sheetData>
    <x:row r="1" ht="30" customHeight="1">
      <x:c r="A1" s="13" t="s">
        <x:v>0</x:v>
      </x:c>
      <x:c r="B1" s="13"/>
      <x:c r="C1" s="13"/>
      <x:c r="D1" s="13"/>
      <x:c r="E1" s="13"/>
      <x:c r="F1" s="13"/>
    </x:row>
    <x:row r="2" ht="32" customHeight="1">
      <x:c r="A2" s="14" t="s">
        <x:v>1</x:v>
      </x:c>
      <x:c r="B2" s="14"/>
      <x:c r="C2" s="14"/>
      <x:c r="D2" s="14"/>
      <x:c r="E2" s="14"/>
      <x:c r="F2" s="14"/>
    </x:row>
    <x:row r="4">
      <x:c r="A4" s="16" t="s">
        <x:v>2</x:v>
      </x:c>
      <x:c r="B4" s="16"/>
      <x:c r="C4" s="16"/>
      <x:c r="D4" s="16"/>
      <x:c r="E4" s="16"/>
      <x:c r="F4" s="16"/>
    </x:row>
    <x:row r="5">
      <x:c r="A5" s="17" t="s">
        <x:v>3</x:v>
      </x:c>
      <x:c r="B5" s="18"/>
      <x:c r="C5" s="18"/>
      <x:c r="D5" s="18"/>
      <x:c r="E5" s="18"/>
      <x:c r="F5" s="19"/>
    </x:row>
    <x:row r="6">
      <x:c r="A6" s="20"/>
      <x:c r="B6" s="21"/>
      <x:c r="C6" s="21"/>
      <x:c r="D6" s="21"/>
      <x:c r="E6" s="21"/>
      <x:c r="F6" s="22"/>
    </x:row>
    <x:row r="8" ht="32" customHeight="1">
      <x:c r="A8" s="1" t="s">
        <x:v>4</x:v>
      </x:c>
      <x:c r="B8" s="1" t="s">
        <x:v>5</x:v>
      </x:c>
      <x:c r="C8" s="1" t="s">
        <x:v>6</x:v>
      </x:c>
      <x:c r="D8" s="1" t="s">
        <x:v>7</x:v>
      </x:c>
      <x:c r="E8" s="1" t="s">
        <x:v>8</x:v>
      </x:c>
      <x:c r="F8" s="1" t="s">
        <x:v>9</x:v>
      </x:c>
    </x:row>
    <x:row r="9" ht="26">
      <x:c r="A9" s="2">
        <x:v>1</x:v>
      </x:c>
      <x:c r="B9" s="2" t="s">
        <x:v>10</x:v>
      </x:c>
      <x:c r="C9" s="2" t="s">
        <x:v>11</x:v>
      </x:c>
      <x:c r="D9" s="2" t="s">
        <x:v>12</x:v>
      </x:c>
      <x:c r="E9" s="2" t="s">
        <x:v>13</x:v>
      </x:c>
      <x:c r="F9" s="2" t="s">
        <x:v>14</x:v>
      </x:c>
    </x:row>
    <x:row r="10" ht="26">
      <x:c r="A10" s="2">
        <x:v>2</x:v>
      </x:c>
      <x:c r="B10" s="2" t="s">
        <x:v>15</x:v>
      </x:c>
      <x:c r="C10" s="2" t="s">
        <x:v>11</x:v>
      </x:c>
      <x:c r="D10" s="2" t="s">
        <x:v>16</x:v>
      </x:c>
      <x:c r="E10" s="2" t="s">
        <x:v>17</x:v>
      </x:c>
      <x:c r="F10" s="2" t="s">
        <x:v>18</x:v>
      </x:c>
    </x:row>
    <x:row r="11" ht="26">
      <x:c r="A11" s="2">
        <x:v>3</x:v>
      </x:c>
      <x:c r="B11" s="2" t="s">
        <x:v>19</x:v>
      </x:c>
      <x:c r="C11" s="2" t="s">
        <x:v>11</x:v>
      </x:c>
      <x:c r="D11" s="2" t="s">
        <x:v>20</x:v>
      </x:c>
      <x:c r="E11" s="2" t="s">
        <x:v>21</x:v>
      </x:c>
      <x:c r="F11" s="2" t="s">
        <x:v>22</x:v>
      </x:c>
    </x:row>
    <x:row r="12" ht="26">
      <x:c r="A12" s="2">
        <x:v>4</x:v>
      </x:c>
      <x:c r="B12" s="2" t="s">
        <x:v>23</x:v>
      </x:c>
      <x:c r="C12" s="2" t="s">
        <x:v>11</x:v>
      </x:c>
      <x:c r="D12" s="2" t="s">
        <x:v>24</x:v>
      </x:c>
      <x:c r="E12" s="2" t="s">
        <x:v>25</x:v>
      </x:c>
      <x:c r="F12" s="2" t="s">
        <x:v>26</x:v>
      </x:c>
    </x:row>
    <x:row r="14" ht="32" customHeight="1">
      <x:c r="A14" s="1" t="s">
        <x:v>27</x:v>
      </x:c>
      <x:c r="B14" s="1" t="s">
        <x:v>28</x:v>
      </x:c>
      <x:c r="C14" s="1" t="s">
        <x:v>29</x:v>
      </x:c>
    </x:row>
    <x:row r="15" ht="34" customHeight="1">
      <x:c r="A15" s="2" t="s">
        <x:v>30</x:v>
      </x:c>
      <x:c r="B15" s="2" t="s">
        <x:v>31</x:v>
      </x:c>
      <x:c r="C15" s="2" t="s">
        <x:v>32</x:v>
      </x:c>
    </x:row>
    <x:row r="16" ht="34" customHeight="1">
      <x:c r="A16" s="2" t="s">
        <x:v>33</x:v>
      </x:c>
      <x:c r="B16" s="2" t="s">
        <x:v>34</x:v>
      </x:c>
      <x:c r="C16" s="2" t="s">
        <x:v>35</x:v>
      </x:c>
    </x:row>
    <x:row r="17" ht="34" customHeight="1">
      <x:c r="A17" s="2" t="s">
        <x:v>36</x:v>
      </x:c>
      <x:c r="B17" s="2" t="s">
        <x:v>37</x:v>
      </x:c>
      <x:c r="C17" s="2" t="s">
        <x:v>38</x:v>
      </x:c>
    </x:row>
    <x:row r="18" ht="34" customHeight="1">
      <x:c r="A18" s="2" t="s">
        <x:v>39</x:v>
      </x:c>
      <x:c r="B18" s="2" t="s">
        <x:v>40</x:v>
      </x:c>
      <x:c r="C18" s="2" t="s">
        <x:v>41</x:v>
      </x:c>
    </x:row>
    <x:row r="20">
      <x:c r="A20" s="15" t="s">
        <x:v>42</x:v>
      </x:c>
      <x:c r="B20" s="15"/>
      <x:c r="C20" s="15"/>
      <x:c r="D20" s="15"/>
      <x:c r="E20" s="15"/>
      <x:c r="F20" s="15"/>
    </x:row>
  </x:sheetData>
  <x:mergeCells>
    <x:mergeCell ref="A1:F1"/>
    <x:mergeCell ref="A2:F2"/>
    <x:mergeCell ref="A4:F4"/>
    <x:mergeCell ref="A5:F6"/>
    <x:mergeCell ref="A20:F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4.5"/>
  <x:cols>
    <x:col min="1" max="1" width="12" customWidth="1"/>
    <x:col min="2" max="2" width="20" customWidth="1"/>
    <x:col min="3" max="3" width="44" customWidth="1"/>
    <x:col min="4" max="4" width="30" customWidth="1"/>
    <x:col min="5" max="5" width="9" customWidth="1"/>
    <x:col min="6" max="6" width="25" customWidth="1"/>
    <x:col min="7" max="7" width="3.90625" customWidth="1"/>
    <x:col min="8" max="8" width="16.08984375" customWidth="1"/>
    <x:col min="9" max="9" width="55" customWidth="1"/>
    <x:col min="10" max="10" width="16" customWidth="1"/>
    <x:col min="11" max="11" width="38" customWidth="1"/>
    <x:col min="12" max="12" width="26" customWidth="1"/>
    <x:col min="13" max="13" width="20" customWidth="1"/>
    <x:col min="14" max="14" width="30" customWidth="1"/>
    <x:col min="15" max="15" width="18" customWidth="1"/>
  </x:cols>
  <x:sheetData>
    <x:row r="1" ht="30" customHeight="1">
      <x:c r="A1" s="13" t="s">
        <x:v>43</x:v>
      </x:c>
      <x:c r="B1" s="13"/>
      <x:c r="C1" s="13"/>
      <x:c r="D1" s="13"/>
      <x:c r="E1" s="13"/>
      <x:c r="F1" s="13"/>
      <x:c r="G1" s="13"/>
      <x:c r="H1" s="13"/>
      <x:c r="I1" s="13"/>
      <x:c r="J1" s="13"/>
      <x:c r="K1" s="13"/>
      <x:c r="L1" s="13"/>
      <x:c r="M1" s="13"/>
      <x:c r="N1" s="13"/>
      <x:c r="O1" s="13"/>
    </x:row>
    <x:row r="2" ht="32" customHeight="1">
      <x:c r="A2" s="14" t="s">
        <x:v>44</x:v>
      </x:c>
      <x:c r="B2" s="14"/>
      <x:c r="C2" s="14"/>
      <x:c r="D2" s="14"/>
      <x:c r="E2" s="14"/>
      <x:c r="F2" s="14"/>
      <x:c r="G2" s="14"/>
      <x:c r="H2" s="14"/>
      <x:c r="I2" s="14"/>
      <x:c r="J2" s="14"/>
      <x:c r="K2" s="14"/>
      <x:c r="L2" s="14"/>
      <x:c r="M2" s="14"/>
      <x:c r="N2" s="14"/>
      <x:c r="O2" s="14"/>
    </x:row>
    <x:row r="3">
      <x:c r="A3" s="15" t="s">
        <x:v>45</x:v>
      </x:c>
      <x:c r="B3" s="15"/>
      <x:c r="C3" s="15"/>
      <x:c r="D3" s="15"/>
      <x:c r="E3" s="15"/>
      <x:c r="F3" s="15"/>
      <x:c r="G3" s="15"/>
      <x:c r="H3" s="15"/>
      <x:c r="I3" s="15"/>
      <x:c r="J3" s="15"/>
      <x:c r="K3" s="15"/>
      <x:c r="L3" s="15"/>
      <x:c r="M3" s="15"/>
      <x:c r="N3" s="15"/>
      <x:c r="O3" s="15"/>
    </x:row>
    <x:row r="5" ht="32" customHeight="1">
      <x:c r="A5" s="1" t="s">
        <x:v>46</x:v>
      </x:c>
      <x:c r="B5" s="1" t="s">
        <x:v>47</x:v>
      </x:c>
      <x:c r="C5" s="1" t="s">
        <x:v>48</x:v>
      </x:c>
      <x:c r="D5" s="1" t="s">
        <x:v>49</x:v>
      </x:c>
      <x:c r="E5" s="1" t="s">
        <x:v>50</x:v>
      </x:c>
      <x:c r="F5" s="1" t="s">
        <x:v>51</x:v>
      </x:c>
      <x:c r="G5" s="1" t="s">
        <x:v>52</x:v>
      </x:c>
      <x:c r="H5" s="1" t="s">
        <x:v>53</x:v>
      </x:c>
      <x:c r="I5" s="1" t="s">
        <x:v>54</x:v>
      </x:c>
      <x:c r="J5" s="1" t="s">
        <x:v>55</x:v>
      </x:c>
      <x:c r="K5" s="1" t="s">
        <x:v>56</x:v>
      </x:c>
      <x:c r="L5" s="1" t="s">
        <x:v>12</x:v>
      </x:c>
      <x:c r="M5" s="1" t="s">
        <x:v>16</x:v>
      </x:c>
      <x:c r="N5" s="1" t="s">
        <x:v>20</x:v>
      </x:c>
      <x:c r="O5" s="1" t="s">
        <x:v>24</x:v>
      </x:c>
    </x:row>
    <x:row r="6" ht="72" customHeight="1">
      <x:c r="A6" s="2" t="s">
        <x:v>57</x:v>
      </x:c>
      <x:c r="B6" s="2" t="s">
        <x:v>58</x:v>
      </x:c>
      <x:c r="C6" s="2" t="s">
        <x:v>59</x:v>
      </x:c>
      <x:c r="D6" s="2" t="s">
        <x:v>60</x:v>
      </x:c>
      <x:c r="E6" s="2" t="s">
        <x:v>61</x:v>
      </x:c>
      <x:c r="F6" s="2" t="s">
        <x:v>62</x:v>
      </x:c>
      <x:c r="G6" s="2" t="s">
        <x:v>63</x:v>
      </x:c>
      <x:c r="H6" s="2"/>
      <x:c r="I6" s="2"/>
      <x:c r="J6" s="2" t="s">
        <x:v>64</x:v>
      </x:c>
      <x:c r="K6" s="2" t="s">
        <x:v>65</x:v>
      </x:c>
      <x:c r="L6" s="3" t="s">
        <x:v>33</x:v>
      </x:c>
      <x:c r="M6" s="3" t="s">
        <x:v>64</x:v>
      </x:c>
      <x:c r="N6" s="3"/>
      <x:c r="O6" s="4" t="str">
        <x:f t="shared" ref="O6:O20" si="0">IF(LEFT(K6,8)="Classify",IF(L6="","PENDING","COMPLETE"),IF(M6="","PENDING",IF(AND(M6="YES",L6=""),"NEEDS CATEGORY","COMPLETE")))</x:f>
        <x:v>COMPLETE</x:v>
      </x:c>
    </x:row>
    <x:row r="7" ht="72" customHeight="1">
      <x:c r="A7" s="2" t="s">
        <x:v>66</x:v>
      </x:c>
      <x:c r="B7" s="2" t="s">
        <x:v>67</x:v>
      </x:c>
      <x:c r="C7" s="2" t="s">
        <x:v>68</x:v>
      </x:c>
      <x:c r="D7" s="2" t="s">
        <x:v>69</x:v>
      </x:c>
      <x:c r="E7" s="2" t="s">
        <x:v>70</x:v>
      </x:c>
      <x:c r="F7" s="2" t="s">
        <x:v>71</x:v>
      </x:c>
      <x:c r="G7" s="2"/>
      <x:c r="H7" s="2"/>
      <x:c r="I7" s="2" t="s">
        <x:v>72</x:v>
      </x:c>
      <x:c r="J7" s="2" t="s">
        <x:v>64</x:v>
      </x:c>
      <x:c r="K7" s="2" t="s">
        <x:v>65</x:v>
      </x:c>
      <x:c r="L7" s="3" t="s">
        <x:v>30</x:v>
      </x:c>
      <x:c r="M7" s="3" t="s">
        <x:v>64</x:v>
      </x:c>
      <x:c r="N7" s="3"/>
      <x:c r="O7" s="4" t="str">
        <x:f t="shared" si="0"/>
        <x:v>COMPLETE</x:v>
      </x:c>
    </x:row>
    <x:row r="8" ht="72" customHeight="1">
      <x:c r="A8" s="2" t="s">
        <x:v>73</x:v>
      </x:c>
      <x:c r="B8" s="2" t="s">
        <x:v>74</x:v>
      </x:c>
      <x:c r="C8" s="2" t="s">
        <x:v>75</x:v>
      </x:c>
      <x:c r="D8" s="2" t="s">
        <x:v>76</x:v>
      </x:c>
      <x:c r="E8" s="2" t="s">
        <x:v>77</x:v>
      </x:c>
      <x:c r="F8" s="2"/>
      <x:c r="G8" s="2" t="s">
        <x:v>78</x:v>
      </x:c>
      <x:c r="H8" s="2"/>
      <x:c r="I8" s="2" t="s">
        <x:v>79</x:v>
      </x:c>
      <x:c r="J8" s="2" t="s">
        <x:v>64</x:v>
      </x:c>
      <x:c r="K8" s="2" t="s">
        <x:v>65</x:v>
      </x:c>
      <x:c r="L8" s="3" t="s">
        <x:v>30</x:v>
      </x:c>
      <x:c r="M8" s="3" t="s">
        <x:v>64</x:v>
      </x:c>
      <x:c r="N8" s="3"/>
      <x:c r="O8" s="4" t="str">
        <x:f t="shared" si="0"/>
        <x:v>COMPLETE</x:v>
      </x:c>
    </x:row>
    <x:row r="9" ht="72" customHeight="1">
      <x:c r="A9" s="2" t="s">
        <x:v>80</x:v>
      </x:c>
      <x:c r="B9" s="2" t="s">
        <x:v>81</x:v>
      </x:c>
      <x:c r="C9" s="2" t="s">
        <x:v>82</x:v>
      </x:c>
      <x:c r="D9" s="2"/>
      <x:c r="E9" s="2"/>
      <x:c r="F9" s="2"/>
      <x:c r="G9" s="2"/>
      <x:c r="H9" s="2"/>
      <x:c r="I9" s="2" t="s">
        <x:v>83</x:v>
      </x:c>
      <x:c r="J9" s="2" t="s">
        <x:v>64</x:v>
      </x:c>
      <x:c r="K9" s="2" t="s">
        <x:v>65</x:v>
      </x:c>
      <x:c r="L9" s="3" t="s">
        <x:v>33</x:v>
      </x:c>
      <x:c r="M9" s="3" t="s">
        <x:v>64</x:v>
      </x:c>
      <x:c r="N9" s="3"/>
      <x:c r="O9" s="4" t="str">
        <x:f t="shared" si="0"/>
        <x:v>COMPLETE</x:v>
      </x:c>
    </x:row>
    <x:row r="10" ht="72" customHeight="1">
      <x:c r="A10" s="2" t="s">
        <x:v>84</x:v>
      </x:c>
      <x:c r="B10" s="2" t="s">
        <x:v>85</x:v>
      </x:c>
      <x:c r="C10" s="2" t="s">
        <x:v>86</x:v>
      </x:c>
      <x:c r="D10" s="2" t="s">
        <x:v>87</x:v>
      </x:c>
      <x:c r="E10" s="2" t="s">
        <x:v>88</x:v>
      </x:c>
      <x:c r="F10" s="2" t="s">
        <x:v>89</x:v>
      </x:c>
      <x:c r="G10" s="2"/>
      <x:c r="H10" s="2"/>
      <x:c r="I10" s="2"/>
      <x:c r="J10" s="2" t="s">
        <x:v>64</x:v>
      </x:c>
      <x:c r="K10" s="2" t="s">
        <x:v>65</x:v>
      </x:c>
      <x:c r="L10" s="3" t="s">
        <x:v>30</x:v>
      </x:c>
      <x:c r="M10" s="3" t="s">
        <x:v>64</x:v>
      </x:c>
      <x:c r="N10" s="3"/>
      <x:c r="O10" s="4" t="str">
        <x:f t="shared" si="0"/>
        <x:v>COMPLETE</x:v>
      </x:c>
    </x:row>
    <x:row r="11" ht="72" customHeight="1">
      <x:c r="A11" s="2" t="s">
        <x:v>90</x:v>
      </x:c>
      <x:c r="B11" s="2" t="s">
        <x:v>91</x:v>
      </x:c>
      <x:c r="C11" s="2" t="s">
        <x:v>92</x:v>
      </x:c>
      <x:c r="D11" s="2" t="s">
        <x:v>93</x:v>
      </x:c>
      <x:c r="E11" s="2" t="s">
        <x:v>94</x:v>
      </x:c>
      <x:c r="F11" s="2" t="s">
        <x:v>95</x:v>
      </x:c>
      <x:c r="G11" s="2" t="s">
        <x:v>96</x:v>
      </x:c>
      <x:c r="H11" s="2"/>
      <x:c r="I11" s="2"/>
      <x:c r="J11" s="2" t="s">
        <x:v>64</x:v>
      </x:c>
      <x:c r="K11" s="2" t="s">
        <x:v>65</x:v>
      </x:c>
      <x:c r="L11" s="3" t="str">
        <x:v>UNCERTAIN</x:v>
      </x:c>
      <x:c r="M11" s="3" t="s">
        <x:v>97</x:v>
      </x:c>
      <x:c r="N11" s="3" t="str">
        <x:v>Reviewer correction: final category changed to UNCERTAIN on 2026-08-17.</x:v>
      </x:c>
      <x:c r="O11" s="4" t="str">
        <x:f t="shared" si="0"/>
        <x:v>COMPLETE</x:v>
      </x:c>
    </x:row>
    <x:row r="12" ht="72" customHeight="1">
      <x:c r="A12" s="2" t="s">
        <x:v>98</x:v>
      </x:c>
      <x:c r="B12" s="2" t="s">
        <x:v>99</x:v>
      </x:c>
      <x:c r="C12" s="2" t="s">
        <x:v>100</x:v>
      </x:c>
      <x:c r="D12" s="2" t="s">
        <x:v>101</x:v>
      </x:c>
      <x:c r="E12" s="2" t="s">
        <x:v>102</x:v>
      </x:c>
      <x:c r="F12" s="2" t="s">
        <x:v>62</x:v>
      </x:c>
      <x:c r="G12" s="2" t="s">
        <x:v>103</x:v>
      </x:c>
      <x:c r="H12" s="2"/>
      <x:c r="I12" s="2" t="s">
        <x:v>104</x:v>
      </x:c>
      <x:c r="J12" s="2" t="s">
        <x:v>64</x:v>
      </x:c>
      <x:c r="K12" s="2" t="s">
        <x:v>65</x:v>
      </x:c>
      <x:c r="L12" s="3" t="s">
        <x:v>30</x:v>
      </x:c>
      <x:c r="M12" s="3" t="s">
        <x:v>64</x:v>
      </x:c>
      <x:c r="N12" s="3"/>
      <x:c r="O12" s="4" t="str">
        <x:f t="shared" si="0"/>
        <x:v>COMPLETE</x:v>
      </x:c>
    </x:row>
    <x:row r="13" ht="72" customHeight="1">
      <x:c r="A13" s="2" t="s">
        <x:v>105</x:v>
      </x:c>
      <x:c r="B13" s="2" t="s">
        <x:v>106</x:v>
      </x:c>
      <x:c r="C13" s="2" t="s">
        <x:v>107</x:v>
      </x:c>
      <x:c r="D13" s="2" t="s">
        <x:v>108</x:v>
      </x:c>
      <x:c r="E13" s="2" t="s">
        <x:v>109</x:v>
      </x:c>
      <x:c r="F13" s="2" t="s">
        <x:v>62</x:v>
      </x:c>
      <x:c r="G13" s="2" t="s">
        <x:v>110</x:v>
      </x:c>
      <x:c r="H13" s="2"/>
      <x:c r="I13" s="2" t="s">
        <x:v>111</x:v>
      </x:c>
      <x:c r="J13" s="2" t="s">
        <x:v>64</x:v>
      </x:c>
      <x:c r="K13" s="2" t="s">
        <x:v>65</x:v>
      </x:c>
      <x:c r="L13" s="3" t="s">
        <x:v>30</x:v>
      </x:c>
      <x:c r="M13" s="3" t="s">
        <x:v>64</x:v>
      </x:c>
      <x:c r="N13" s="3"/>
      <x:c r="O13" s="4" t="str">
        <x:f t="shared" si="0"/>
        <x:v>COMPLETE</x:v>
      </x:c>
    </x:row>
    <x:row r="14" ht="72" customHeight="1">
      <x:c r="A14" s="2" t="s">
        <x:v>112</x:v>
      </x:c>
      <x:c r="B14" s="2" t="s">
        <x:v>113</x:v>
      </x:c>
      <x:c r="C14" s="2" t="s">
        <x:v>114</x:v>
      </x:c>
      <x:c r="D14" s="2" t="s">
        <x:v>115</x:v>
      </x:c>
      <x:c r="E14" s="2" t="s">
        <x:v>116</x:v>
      </x:c>
      <x:c r="F14" s="2" t="s">
        <x:v>117</x:v>
      </x:c>
      <x:c r="G14" s="2" t="s">
        <x:v>118</x:v>
      </x:c>
      <x:c r="H14" s="2"/>
      <x:c r="I14" s="2" t="s">
        <x:v>119</x:v>
      </x:c>
      <x:c r="J14" s="2" t="s">
        <x:v>64</x:v>
      </x:c>
      <x:c r="K14" s="2" t="s">
        <x:v>65</x:v>
      </x:c>
      <x:c r="L14" s="3" t="s">
        <x:v>33</x:v>
      </x:c>
      <x:c r="M14" s="3" t="s">
        <x:v>64</x:v>
      </x:c>
      <x:c r="N14" s="3"/>
      <x:c r="O14" s="4" t="str">
        <x:f t="shared" si="0"/>
        <x:v>COMPLETE</x:v>
      </x:c>
    </x:row>
    <x:row r="15" ht="72" customHeight="1">
      <x:c r="A15" s="2" t="s">
        <x:v>120</x:v>
      </x:c>
      <x:c r="B15" s="2" t="s">
        <x:v>121</x:v>
      </x:c>
      <x:c r="C15" s="2" t="s">
        <x:v>122</x:v>
      </x:c>
      <x:c r="D15" s="2" t="s">
        <x:v>123</x:v>
      </x:c>
      <x:c r="E15" s="2" t="s">
        <x:v>61</x:v>
      </x:c>
      <x:c r="F15" s="2" t="s">
        <x:v>124</x:v>
      </x:c>
      <x:c r="G15" s="2" t="s">
        <x:v>125</x:v>
      </x:c>
      <x:c r="H15" s="2"/>
      <x:c r="I15" s="2" t="s">
        <x:v>126</x:v>
      </x:c>
      <x:c r="J15" s="2" t="s">
        <x:v>64</x:v>
      </x:c>
      <x:c r="K15" s="2" t="s">
        <x:v>65</x:v>
      </x:c>
      <x:c r="L15" s="3" t="s">
        <x:v>30</x:v>
      </x:c>
      <x:c r="M15" s="3" t="s">
        <x:v>64</x:v>
      </x:c>
      <x:c r="N15" s="3"/>
      <x:c r="O15" s="4" t="str">
        <x:f t="shared" si="0"/>
        <x:v>COMPLETE</x:v>
      </x:c>
    </x:row>
    <x:row r="16" ht="72" customHeight="1">
      <x:c r="A16" s="2" t="s">
        <x:v>127</x:v>
      </x:c>
      <x:c r="B16" s="2" t="s">
        <x:v>128</x:v>
      </x:c>
      <x:c r="C16" s="2" t="s">
        <x:v>129</x:v>
      </x:c>
      <x:c r="D16" s="2" t="s">
        <x:v>130</x:v>
      </x:c>
      <x:c r="E16" s="2" t="s">
        <x:v>131</x:v>
      </x:c>
      <x:c r="F16" s="2" t="s">
        <x:v>132</x:v>
      </x:c>
      <x:c r="G16" s="2" t="s">
        <x:v>133</x:v>
      </x:c>
      <x:c r="H16" s="2"/>
      <x:c r="I16" s="2" t="s">
        <x:v>134</x:v>
      </x:c>
      <x:c r="J16" s="2" t="s">
        <x:v>64</x:v>
      </x:c>
      <x:c r="K16" s="2" t="s">
        <x:v>65</x:v>
      </x:c>
      <x:c r="L16" s="3" t="s">
        <x:v>33</x:v>
      </x:c>
      <x:c r="M16" s="3" t="s">
        <x:v>64</x:v>
      </x:c>
      <x:c r="N16" s="3"/>
      <x:c r="O16" s="4" t="str">
        <x:f t="shared" si="0"/>
        <x:v>COMPLETE</x:v>
      </x:c>
    </x:row>
    <x:row r="17" ht="72" customHeight="1">
      <x:c r="A17" s="2" t="s">
        <x:v>135</x:v>
      </x:c>
      <x:c r="B17" s="2" t="s">
        <x:v>136</x:v>
      </x:c>
      <x:c r="C17" s="2" t="s">
        <x:v>137</x:v>
      </x:c>
      <x:c r="D17" s="2" t="s">
        <x:v>138</x:v>
      </x:c>
      <x:c r="E17" s="2" t="s">
        <x:v>94</x:v>
      </x:c>
      <x:c r="F17" s="2" t="s">
        <x:v>139</x:v>
      </x:c>
      <x:c r="G17" s="2"/>
      <x:c r="H17" s="2"/>
      <x:c r="I17" s="2" t="s">
        <x:v>140</x:v>
      </x:c>
      <x:c r="J17" s="2" t="s">
        <x:v>64</x:v>
      </x:c>
      <x:c r="K17" s="2" t="s">
        <x:v>65</x:v>
      </x:c>
      <x:c r="L17" s="3" t="s">
        <x:v>30</x:v>
      </x:c>
      <x:c r="M17" s="3" t="s">
        <x:v>64</x:v>
      </x:c>
      <x:c r="N17" s="3"/>
      <x:c r="O17" s="4" t="str">
        <x:f t="shared" si="0"/>
        <x:v>COMPLETE</x:v>
      </x:c>
    </x:row>
    <x:row r="18" ht="72" customHeight="1">
      <x:c r="A18" s="2" t="s">
        <x:v>141</x:v>
      </x:c>
      <x:c r="B18" s="2" t="s">
        <x:v>142</x:v>
      </x:c>
      <x:c r="C18" s="2" t="s">
        <x:v>143</x:v>
      </x:c>
      <x:c r="D18" s="2"/>
      <x:c r="E18" s="2"/>
      <x:c r="F18" s="2" t="s">
        <x:v>144</x:v>
      </x:c>
      <x:c r="G18" s="2"/>
      <x:c r="H18" s="2"/>
      <x:c r="I18" s="2"/>
      <x:c r="J18" s="2" t="s">
        <x:v>145</x:v>
      </x:c>
      <x:c r="K18" s="2" t="s">
        <x:v>146</x:v>
      </x:c>
      <x:c r="L18" s="3" t="s">
        <x:v>36</x:v>
      </x:c>
      <x:c r="M18" s="3" t="s">
        <x:v>145</x:v>
      </x:c>
      <x:c r="N18" s="3"/>
      <x:c r="O18" s="4" t="str">
        <x:f t="shared" si="0"/>
        <x:v>COMPLETE</x:v>
      </x:c>
    </x:row>
    <x:row r="19" ht="72" customHeight="1">
      <x:c r="A19" s="2" t="s">
        <x:v>147</x:v>
      </x:c>
      <x:c r="B19" s="2" t="s">
        <x:v>148</x:v>
      </x:c>
      <x:c r="C19" s="2" t="s">
        <x:v>149</x:v>
      </x:c>
      <x:c r="D19" s="2"/>
      <x:c r="E19" s="2"/>
      <x:c r="F19" s="2" t="s">
        <x:v>150</x:v>
      </x:c>
      <x:c r="G19" s="2"/>
      <x:c r="H19" s="2"/>
      <x:c r="I19" s="2" t="s">
        <x:v>151</x:v>
      </x:c>
      <x:c r="J19" s="2" t="s">
        <x:v>145</x:v>
      </x:c>
      <x:c r="K19" s="2" t="s">
        <x:v>146</x:v>
      </x:c>
      <x:c r="L19" s="3" t="s">
        <x:v>36</x:v>
      </x:c>
      <x:c r="M19" s="3" t="s">
        <x:v>145</x:v>
      </x:c>
      <x:c r="N19" s="3"/>
      <x:c r="O19" s="4" t="str">
        <x:f t="shared" si="0"/>
        <x:v>COMPLETE</x:v>
      </x:c>
    </x:row>
    <x:row r="20" ht="72" customHeight="1">
      <x:c r="A20" s="2" t="s">
        <x:v>152</x:v>
      </x:c>
      <x:c r="B20" s="2" t="s">
        <x:v>153</x:v>
      </x:c>
      <x:c r="C20" s="2" t="s">
        <x:v>154</x:v>
      </x:c>
      <x:c r="D20" s="2"/>
      <x:c r="E20" s="2"/>
      <x:c r="F20" s="2" t="s">
        <x:v>155</x:v>
      </x:c>
      <x:c r="G20" s="2"/>
      <x:c r="H20" s="2"/>
      <x:c r="I20" s="2" t="s">
        <x:v>156</x:v>
      </x:c>
      <x:c r="J20" s="2" t="s">
        <x:v>145</x:v>
      </x:c>
      <x:c r="K20" s="2" t="s">
        <x:v>146</x:v>
      </x:c>
      <x:c r="L20" s="3" t="s">
        <x:v>36</x:v>
      </x:c>
      <x:c r="M20" s="3" t="s">
        <x:v>145</x:v>
      </x:c>
      <x:c r="N20" s="3"/>
      <x:c r="O20" s="4" t="str">
        <x:f t="shared" si="0"/>
        <x:v>COMPLETE</x:v>
      </x:c>
    </x:row>
  </x:sheetData>
  <x:mergeCells>
    <x:mergeCell ref="A1:O1"/>
    <x:mergeCell ref="A2:O2"/>
    <x:mergeCell ref="A3:O3"/>
  </x:mergeCells>
  <x:dataValidations count="2">
    <x:dataValidation type="list" sqref="L6:L20">
      <x:formula1>"CORE_INCLUDE,TRANSFERABLE_MECHANISM,EXCLUDE,UNCERTAIN"</x:formula1>
    </x:dataValidation>
    <x:dataValidation type="list" sqref="M6:M20">
      <x:formula1>"YES,MAYBE,NO"</x:formula1>
    </x:dataValidation>
  </x:dataValidations>
  <x:pageMargins left="0.7" right="0.7" top="0.75" bottom="0.75" header="0.3" footer="0.3"/>
  <x:tableParts count="1">
    <x:tablePart xmlns:r="http://schemas.openxmlformats.org/officeDocument/2006/relationships" r:id="R21074c219e7d4a2f"/>
  </x:tableParts>
</x:worksheet>
</file>

<file path=xl/worksheets/sheet3.xml><?xml version="1.0" encoding="utf-8"?>
<x:worksheet xmlns:x="http://schemas.openxmlformats.org/spreadsheetml/2006/main">
  <x:sheetViews>
    <x:sheetView showGridLines="0" workbookViewId="0"/>
  </x:sheetViews>
  <x:sheetFormatPr defaultRowHeight="14.5"/>
  <x:cols>
    <x:col min="1" max="1" width="36" customWidth="1"/>
    <x:col min="2" max="2" width="24" customWidth="1"/>
    <x:col min="3" max="3" width="58" customWidth="1"/>
  </x:cols>
  <x:sheetData>
    <x:row r="1" ht="30" customHeight="1">
      <x:c r="A1" s="13" t="s">
        <x:v>157</x:v>
      </x:c>
      <x:c r="B1" s="13"/>
      <x:c r="C1" s="13"/>
      <x:c r="D1" s="13"/>
    </x:row>
    <x:row r="2" ht="32" customHeight="1">
      <x:c r="A2" s="14" t="s">
        <x:v>158</x:v>
      </x:c>
      <x:c r="B2" s="14"/>
      <x:c r="C2" s="14"/>
      <x:c r="D2" s="14"/>
    </x:row>
    <x:row r="5" ht="32" customHeight="1">
      <x:c r="A5" s="1" t="s">
        <x:v>159</x:v>
      </x:c>
      <x:c r="B5" s="1" t="s">
        <x:v>160</x:v>
      </x:c>
      <x:c r="C5" s="1" t="s">
        <x:v>161</x:v>
      </x:c>
    </x:row>
    <x:row r="6" ht="28" customHeight="1">
      <x:c r="A6" s="2" t="s">
        <x:v>162</x:v>
      </x:c>
      <x:c r="B6" s="5">
        <x:v>407</x:v>
      </x:c>
      <x:c r="C6" s="2" t="s">
        <x:v>163</x:v>
      </x:c>
    </x:row>
    <x:row r="7" ht="28" customHeight="1">
      <x:c r="A7" s="2" t="s">
        <x:v>64</x:v>
      </x:c>
      <x:c r="B7" s="5">
        <x:v>12</x:v>
      </x:c>
      <x:c r="C7" s="2" t="s">
        <x:v>164</x:v>
      </x:c>
    </x:row>
    <x:row r="8" ht="28" customHeight="1">
      <x:c r="A8" s="2" t="s">
        <x:v>97</x:v>
      </x:c>
      <x:c r="B8" s="5">
        <x:v>13</x:v>
      </x:c>
      <x:c r="C8" s="2" t="s">
        <x:v>165</x:v>
      </x:c>
    </x:row>
    <x:row r="9" ht="28" customHeight="1">
      <x:c r="A9" s="2" t="s">
        <x:v>145</x:v>
      </x:c>
      <x:c r="B9" s="5">
        <x:v>382</x:v>
      </x:c>
      <x:c r="C9" s="2" t="s">
        <x:v>166</x:v>
      </x:c>
    </x:row>
    <x:row r="10" ht="28" customHeight="1">
      <x:c r="A10" s="2" t="s">
        <x:v>167</x:v>
      </x:c>
      <x:c r="B10" s="5">
        <x:v>15</x:v>
      </x:c>
      <x:c r="C10" s="2" t="s">
        <x:v>168</x:v>
      </x:c>
    </x:row>
    <x:row r="11" ht="28" customHeight="1">
      <x:c r="A11" s="2" t="s">
        <x:v>169</x:v>
      </x:c>
      <x:c r="B11" s="5">
        <x:v>3</x:v>
      </x:c>
      <x:c r="C11" s="2" t="s">
        <x:v>170</x:v>
      </x:c>
    </x:row>
    <x:row r="12" ht="28" customHeight="1">
      <x:c r="A12" s="2" t="s">
        <x:v>171</x:v>
      </x:c>
      <x:c r="B12" s="5">
        <x:v>43307</x:v>
      </x:c>
      <x:c r="C12" s="2" t="s">
        <x:v>172</x:v>
      </x:c>
    </x:row>
    <x:row r="13" ht="28" customHeight="1">
      <x:c r="A13" s="2" t="s">
        <x:v>173</x:v>
      </x:c>
      <x:c r="B13" s="5">
        <x:v>324</x:v>
      </x:c>
      <x:c r="C13" s="2" t="s">
        <x:v>174</x:v>
      </x:c>
    </x:row>
    <x:row r="14" ht="28" customHeight="1">
      <x:c r="A14" s="2" t="s">
        <x:v>175</x:v>
      </x:c>
      <x:c r="B14" s="5">
        <x:v>32</x:v>
      </x:c>
      <x:c r="C14" s="2" t="s">
        <x:v>176</x:v>
      </x:c>
    </x:row>
    <x:row r="15" ht="28" customHeight="1">
      <x:c r="A15" s="2" t="s">
        <x:v>177</x:v>
      </x:c>
      <x:c r="B15" s="5">
        <x:v>28</x:v>
      </x:c>
      <x:c r="C15" s="2" t="s">
        <x:v>178</x:v>
      </x:c>
    </x:row>
    <x:row r="16" ht="28" customHeight="1">
      <x:c r="A16" s="2" t="s">
        <x:v>179</x:v>
      </x:c>
      <x:c r="B16" s="5">
        <x:v>4</x:v>
      </x:c>
      <x:c r="C16" s="2" t="s">
        <x:v>180</x:v>
      </x:c>
    </x:row>
    <x:row r="17" ht="28" customHeight="1">
      <x:c r="A17" s="2" t="s">
        <x:v>181</x:v>
      </x:c>
      <x:c r="B17" s="5" t="n">
        <x:f>COUNTIF('Reviewer Follow-up'!$O$6:$O$20,"PENDING")+COUNTIF('Reviewer Follow-up'!$O$6:$O$20,"NEEDS CATEGORY")</x:f>
        <x:v>0</x:v>
      </x:c>
      <x:c r="C17" s="2" t="s">
        <x:v>182</x:v>
      </x:c>
    </x:row>
    <x:row r="18" ht="28" customHeight="1">
      <x:c r="A18" s="2" t="s">
        <x:v>183</x:v>
      </x:c>
      <x:c r="B18" s="5" t="n">
        <x:f>COUNTIF('Reviewer Follow-up'!$O$6:$O$20,"COMPLETE")</x:f>
        <x:v>15</x:v>
      </x:c>
      <x:c r="C18" s="2" t="s">
        <x:v>182</x:v>
      </x:c>
    </x:row>
    <x:row r="19" ht="28" customHeight="1">
      <x:c r="A19" s="6" t="s">
        <x:v>184</x:v>
      </x:c>
      <x:c r="B19" s="6" t="str">
        <x:f>IF(B17=0,"READY FOR QA RE-RUN","BLOCKED — REVIEWER FOLLOW-UP PENDING")</x:f>
        <x:v>READY FOR QA RE-RUN</x:v>
      </x:c>
      <x:c r="C19" s="6" t="s">
        <x:v>185</x:v>
      </x:c>
    </x:row>
  </x:sheetData>
  <x:mergeCells>
    <x:mergeCell ref="A1:D1"/>
    <x:mergeCell ref="A2:D2"/>
  </x:mergeCells>
  <x:pageMargins left="0.7" right="0.7" top="0.75" bottom="0.75" header="0.3" footer="0.3"/>
  <x:tableParts count="1">
    <x:tablePart xmlns:r="http://schemas.openxmlformats.org/officeDocument/2006/relationships" r:id="R5dbc5816de65462f"/>
  </x:tableParts>
</x:worksheet>
</file>

<file path=xl/worksheets/sheet4.xml><?xml version="1.0" encoding="utf-8"?>
<x:worksheet xmlns:x="http://schemas.openxmlformats.org/spreadsheetml/2006/main">
  <x:sheetViews>
    <x:sheetView showGridLines="0" workbookViewId="0"/>
  </x:sheetViews>
  <x:sheetFormatPr defaultRowHeight="14.5"/>
  <x:cols>
    <x:col min="1" max="1" width="14" customWidth="1"/>
    <x:col min="2" max="2" width="9" customWidth="1"/>
    <x:col min="3" max="3" width="52" customWidth="1"/>
    <x:col min="4" max="4" width="16" customWidth="1"/>
    <x:col min="5" max="5" width="21" customWidth="1"/>
    <x:col min="6" max="6" width="48" customWidth="1"/>
    <x:col min="7" max="7" width="12" customWidth="1"/>
    <x:col min="8" max="8" width="42" customWidth="1"/>
    <x:col min="9" max="9" width="48" customWidth="1"/>
  </x:cols>
  <x:sheetData>
    <x:row r="1" ht="30" customHeight="1">
      <x:c r="A1" s="13" t="s">
        <x:v>186</x:v>
      </x:c>
      <x:c r="B1" s="13"/>
      <x:c r="C1" s="13"/>
      <x:c r="D1" s="13"/>
      <x:c r="E1" s="13"/>
      <x:c r="F1" s="13"/>
      <x:c r="G1" s="13"/>
      <x:c r="H1" s="13"/>
      <x:c r="I1" s="13"/>
    </x:row>
    <x:row r="2" ht="32" customHeight="1">
      <x:c r="A2" s="14" t="s">
        <x:v>187</x:v>
      </x:c>
      <x:c r="B2" s="14"/>
      <x:c r="C2" s="14"/>
      <x:c r="D2" s="14"/>
      <x:c r="E2" s="14"/>
      <x:c r="F2" s="14"/>
      <x:c r="G2" s="14"/>
      <x:c r="H2" s="14"/>
      <x:c r="I2" s="14"/>
    </x:row>
    <x:row r="5" ht="32" customHeight="1">
      <x:c r="A5" s="1" t="s">
        <x:v>188</x:v>
      </x:c>
      <x:c r="B5" s="1" t="s">
        <x:v>50</x:v>
      </x:c>
      <x:c r="C5" s="1" t="s">
        <x:v>189</x:v>
      </x:c>
      <x:c r="D5" s="1" t="s">
        <x:v>190</x:v>
      </x:c>
      <x:c r="E5" s="1" t="s">
        <x:v>191</x:v>
      </x:c>
      <x:c r="F5" s="1" t="s">
        <x:v>192</x:v>
      </x:c>
      <x:c r="G5" s="1" t="s">
        <x:v>193</x:v>
      </x:c>
      <x:c r="H5" s="1" t="s">
        <x:v>194</x:v>
      </x:c>
      <x:c r="I5" s="1" t="s">
        <x:v>195</x:v>
      </x:c>
    </x:row>
    <x:row r="6" ht="54" customHeight="1">
      <x:c r="A6" s="2" t="s">
        <x:v>196</x:v>
      </x:c>
      <x:c r="B6" s="2" t="s">
        <x:v>109</x:v>
      </x:c>
      <x:c r="C6" s="2" t="s">
        <x:v>107</x:v>
      </x:c>
      <x:c r="D6" s="7" t="s">
        <x:v>197</x:v>
      </x:c>
      <x:c r="E6" s="2" t="s">
        <x:v>106</x:v>
      </x:c>
      <x:c r="F6" s="2" t="s">
        <x:v>107</x:v>
      </x:c>
      <x:c r="G6" s="9">
        <x:v>1</x:v>
      </x:c>
      <x:c r="H6" s="2" t="s">
        <x:v>198</x:v>
      </x:c>
      <x:c r="I6" s="2"/>
    </x:row>
    <x:row r="7" ht="54" customHeight="1">
      <x:c r="A7" s="2" t="s">
        <x:v>199</x:v>
      </x:c>
      <x:c r="B7" s="2" t="s">
        <x:v>77</x:v>
      </x:c>
      <x:c r="C7" s="2" t="s">
        <x:v>200</x:v>
      </x:c>
      <x:c r="D7" s="7" t="s">
        <x:v>197</x:v>
      </x:c>
      <x:c r="E7" s="2" t="s">
        <x:v>201</x:v>
      </x:c>
      <x:c r="F7" s="2" t="s">
        <x:v>200</x:v>
      </x:c>
      <x:c r="G7" s="9">
        <x:v>1</x:v>
      </x:c>
      <x:c r="H7" s="2" t="s">
        <x:v>202</x:v>
      </x:c>
      <x:c r="I7" s="2"/>
    </x:row>
    <x:row r="8" ht="54" customHeight="1">
      <x:c r="A8" s="2" t="s">
        <x:v>203</x:v>
      </x:c>
      <x:c r="B8" s="2" t="s">
        <x:v>88</x:v>
      </x:c>
      <x:c r="C8" s="2" t="s">
        <x:v>204</x:v>
      </x:c>
      <x:c r="D8" s="7" t="s">
        <x:v>197</x:v>
      </x:c>
      <x:c r="E8" s="2" t="s">
        <x:v>205</x:v>
      </x:c>
      <x:c r="F8" s="2" t="s">
        <x:v>204</x:v>
      </x:c>
      <x:c r="G8" s="9">
        <x:v>1</x:v>
      </x:c>
      <x:c r="H8" s="2" t="s">
        <x:v>206</x:v>
      </x:c>
      <x:c r="I8" s="2"/>
    </x:row>
    <x:row r="9" ht="54" customHeight="1">
      <x:c r="A9" s="2" t="s">
        <x:v>207</x:v>
      </x:c>
      <x:c r="B9" s="2" t="s">
        <x:v>61</x:v>
      </x:c>
      <x:c r="C9" s="2" t="s">
        <x:v>59</x:v>
      </x:c>
      <x:c r="D9" s="7" t="s">
        <x:v>197</x:v>
      </x:c>
      <x:c r="E9" s="2" t="s">
        <x:v>58</x:v>
      </x:c>
      <x:c r="F9" s="2" t="s">
        <x:v>59</x:v>
      </x:c>
      <x:c r="G9" s="9">
        <x:v>1</x:v>
      </x:c>
      <x:c r="H9" s="2" t="s">
        <x:v>206</x:v>
      </x:c>
      <x:c r="I9" s="2"/>
    </x:row>
    <x:row r="10" ht="54" customHeight="1">
      <x:c r="A10" s="2" t="s">
        <x:v>208</x:v>
      </x:c>
      <x:c r="B10" s="2" t="s">
        <x:v>209</x:v>
      </x:c>
      <x:c r="C10" s="2" t="s">
        <x:v>210</x:v>
      </x:c>
      <x:c r="D10" s="7" t="s">
        <x:v>197</x:v>
      </x:c>
      <x:c r="E10" s="2" t="s">
        <x:v>211</x:v>
      </x:c>
      <x:c r="F10" s="2" t="s">
        <x:v>210</x:v>
      </x:c>
      <x:c r="G10" s="9">
        <x:v>1</x:v>
      </x:c>
      <x:c r="H10" s="2" t="s">
        <x:v>212</x:v>
      </x:c>
      <x:c r="I10" s="2"/>
    </x:row>
    <x:row r="11" ht="54" customHeight="1">
      <x:c r="A11" s="2" t="s">
        <x:v>213</x:v>
      </x:c>
      <x:c r="B11" s="2" t="s">
        <x:v>109</x:v>
      </x:c>
      <x:c r="C11" s="2" t="s">
        <x:v>214</x:v>
      </x:c>
      <x:c r="D11" s="8" t="s">
        <x:v>215</x:v>
      </x:c>
      <x:c r="E11" s="2"/>
      <x:c r="F11" s="2"/>
      <x:c r="G11" s="9">
        <x:v>0.44400000000000001</x:v>
      </x:c>
      <x:c r="H11" s="2" t="s">
        <x:v>216</x:v>
      </x:c>
      <x:c r="I11" s="2"/>
    </x:row>
    <x:row r="12" ht="54" customHeight="1">
      <x:c r="A12" s="2" t="s">
        <x:v>217</x:v>
      </x:c>
      <x:c r="B12" s="2" t="s">
        <x:v>218</x:v>
      </x:c>
      <x:c r="C12" s="2" t="s">
        <x:v>219</x:v>
      </x:c>
      <x:c r="D12" s="7" t="s">
        <x:v>197</x:v>
      </x:c>
      <x:c r="E12" s="2" t="s">
        <x:v>220</x:v>
      </x:c>
      <x:c r="F12" s="2" t="s">
        <x:v>221</x:v>
      </x:c>
      <x:c r="G12" s="9">
        <x:v>1</x:v>
      </x:c>
      <x:c r="H12" s="2" t="s">
        <x:v>222</x:v>
      </x:c>
      <x:c r="I12" s="2"/>
    </x:row>
    <x:row r="13" ht="54" customHeight="1">
      <x:c r="A13" s="2" t="s">
        <x:v>223</x:v>
      </x:c>
      <x:c r="B13" s="2" t="s">
        <x:v>116</x:v>
      </x:c>
      <x:c r="C13" s="2" t="s">
        <x:v>224</x:v>
      </x:c>
      <x:c r="D13" s="7" t="s">
        <x:v>197</x:v>
      </x:c>
      <x:c r="E13" s="2" t="s">
        <x:v>225</x:v>
      </x:c>
      <x:c r="F13" s="2" t="s">
        <x:v>224</x:v>
      </x:c>
      <x:c r="G13" s="9">
        <x:v>1</x:v>
      </x:c>
      <x:c r="H13" s="2" t="s">
        <x:v>226</x:v>
      </x:c>
      <x:c r="I13" s="2" t="s">
        <x:v>227</x:v>
      </x:c>
    </x:row>
    <x:row r="14" ht="54" customHeight="1">
      <x:c r="A14" s="2" t="s">
        <x:v>228</x:v>
      </x:c>
      <x:c r="B14" s="2" t="s">
        <x:v>229</x:v>
      </x:c>
      <x:c r="C14" s="2" t="s">
        <x:v>230</x:v>
      </x:c>
      <x:c r="D14" s="7" t="s">
        <x:v>197</x:v>
      </x:c>
      <x:c r="E14" s="2" t="s">
        <x:v>231</x:v>
      </x:c>
      <x:c r="F14" s="2" t="s">
        <x:v>230</x:v>
      </x:c>
      <x:c r="G14" s="9">
        <x:v>1</x:v>
      </x:c>
      <x:c r="H14" s="2" t="s">
        <x:v>232</x:v>
      </x:c>
      <x:c r="I14" s="2"/>
    </x:row>
    <x:row r="15" ht="54" customHeight="1">
      <x:c r="A15" s="2" t="s">
        <x:v>233</x:v>
      </x:c>
      <x:c r="B15" s="2" t="s">
        <x:v>229</x:v>
      </x:c>
      <x:c r="C15" s="2" t="s">
        <x:v>234</x:v>
      </x:c>
      <x:c r="D15" s="8" t="s">
        <x:v>215</x:v>
      </x:c>
      <x:c r="E15" s="2"/>
      <x:c r="F15" s="2"/>
      <x:c r="G15" s="9">
        <x:v>0.438</x:v>
      </x:c>
      <x:c r="H15" s="2" t="s">
        <x:v>235</x:v>
      </x:c>
      <x:c r="I15" s="2"/>
    </x:row>
    <x:row r="16" ht="54" customHeight="1">
      <x:c r="A16" s="2" t="s">
        <x:v>236</x:v>
      </x:c>
      <x:c r="B16" s="2" t="s">
        <x:v>229</x:v>
      </x:c>
      <x:c r="C16" s="2" t="s">
        <x:v>237</x:v>
      </x:c>
      <x:c r="D16" s="7" t="s">
        <x:v>197</x:v>
      </x:c>
      <x:c r="E16" s="2" t="s">
        <x:v>238</x:v>
      </x:c>
      <x:c r="F16" s="2" t="s">
        <x:v>237</x:v>
      </x:c>
      <x:c r="G16" s="9">
        <x:v>1</x:v>
      </x:c>
      <x:c r="H16" s="2" t="s">
        <x:v>206</x:v>
      </x:c>
      <x:c r="I16" s="2"/>
    </x:row>
    <x:row r="17" ht="54" customHeight="1">
      <x:c r="A17" s="2" t="s">
        <x:v>239</x:v>
      </x:c>
      <x:c r="B17" s="2" t="s">
        <x:v>240</x:v>
      </x:c>
      <x:c r="C17" s="2" t="s">
        <x:v>241</x:v>
      </x:c>
      <x:c r="D17" s="7" t="s">
        <x:v>197</x:v>
      </x:c>
      <x:c r="E17" s="2" t="s">
        <x:v>242</x:v>
      </x:c>
      <x:c r="F17" s="2" t="s">
        <x:v>241</x:v>
      </x:c>
      <x:c r="G17" s="9">
        <x:v>1</x:v>
      </x:c>
      <x:c r="H17" s="2" t="s">
        <x:v>206</x:v>
      </x:c>
      <x:c r="I17" s="2"/>
    </x:row>
    <x:row r="18" ht="54" customHeight="1">
      <x:c r="A18" s="2" t="s">
        <x:v>243</x:v>
      </x:c>
      <x:c r="B18" s="2" t="s">
        <x:v>109</x:v>
      </x:c>
      <x:c r="C18" s="2" t="s">
        <x:v>244</x:v>
      </x:c>
      <x:c r="D18" s="8" t="s">
        <x:v>215</x:v>
      </x:c>
      <x:c r="E18" s="2"/>
      <x:c r="F18" s="2"/>
      <x:c r="G18" s="9">
        <x:v>0.8</x:v>
      </x:c>
      <x:c r="H18" s="2" t="s">
        <x:v>235</x:v>
      </x:c>
      <x:c r="I18" s="2"/>
    </x:row>
    <x:row r="19" ht="54" customHeight="1">
      <x:c r="A19" s="2" t="s">
        <x:v>245</x:v>
      </x:c>
      <x:c r="B19" s="2" t="s">
        <x:v>246</x:v>
      </x:c>
      <x:c r="C19" s="2" t="s">
        <x:v>247</x:v>
      </x:c>
      <x:c r="D19" s="7" t="s">
        <x:v>197</x:v>
      </x:c>
      <x:c r="E19" s="2" t="s">
        <x:v>248</x:v>
      </x:c>
      <x:c r="F19" s="2" t="s">
        <x:v>249</x:v>
      </x:c>
      <x:c r="G19" s="9">
        <x:v>1</x:v>
      </x:c>
      <x:c r="H19" s="2" t="s">
        <x:v>250</x:v>
      </x:c>
      <x:c r="I19" s="2"/>
    </x:row>
    <x:row r="20" ht="54" customHeight="1">
      <x:c r="A20" s="2" t="s">
        <x:v>251</x:v>
      </x:c>
      <x:c r="B20" s="2" t="s">
        <x:v>252</x:v>
      </x:c>
      <x:c r="C20" s="2" t="s">
        <x:v>253</x:v>
      </x:c>
      <x:c r="D20" s="7" t="s">
        <x:v>197</x:v>
      </x:c>
      <x:c r="E20" s="2" t="s">
        <x:v>254</x:v>
      </x:c>
      <x:c r="F20" s="2" t="s">
        <x:v>253</x:v>
      </x:c>
      <x:c r="G20" s="9">
        <x:v>1</x:v>
      </x:c>
      <x:c r="H20" s="2" t="s">
        <x:v>250</x:v>
      </x:c>
      <x:c r="I20" s="2"/>
    </x:row>
    <x:row r="21" ht="54" customHeight="1">
      <x:c r="A21" s="2" t="s">
        <x:v>255</x:v>
      </x:c>
      <x:c r="B21" s="2" t="s">
        <x:v>61</x:v>
      </x:c>
      <x:c r="C21" s="2" t="s">
        <x:v>256</x:v>
      </x:c>
      <x:c r="D21" s="7" t="s">
        <x:v>197</x:v>
      </x:c>
      <x:c r="E21" s="2" t="s">
        <x:v>257</x:v>
      </x:c>
      <x:c r="F21" s="2" t="s">
        <x:v>258</x:v>
      </x:c>
      <x:c r="G21" s="9">
        <x:v>0.872</x:v>
      </x:c>
      <x:c r="H21" s="2" t="s">
        <x:v>259</x:v>
      </x:c>
      <x:c r="I21" s="2" t="s">
        <x:v>260</x:v>
      </x:c>
    </x:row>
    <x:row r="22" ht="54" customHeight="1">
      <x:c r="A22" s="2" t="s">
        <x:v>261</x:v>
      </x:c>
      <x:c r="B22" s="2" t="s">
        <x:v>102</x:v>
      </x:c>
      <x:c r="C22" s="2" t="s">
        <x:v>100</x:v>
      </x:c>
      <x:c r="D22" s="7" t="s">
        <x:v>197</x:v>
      </x:c>
      <x:c r="E22" s="2" t="s">
        <x:v>99</x:v>
      </x:c>
      <x:c r="F22" s="2" t="s">
        <x:v>100</x:v>
      </x:c>
      <x:c r="G22" s="9">
        <x:v>1</x:v>
      </x:c>
      <x:c r="H22" s="2" t="s">
        <x:v>262</x:v>
      </x:c>
      <x:c r="I22" s="2"/>
    </x:row>
    <x:row r="23" ht="54" customHeight="1">
      <x:c r="A23" s="2" t="s">
        <x:v>263</x:v>
      </x:c>
      <x:c r="B23" s="2" t="s">
        <x:v>109</x:v>
      </x:c>
      <x:c r="C23" s="2" t="s">
        <x:v>264</x:v>
      </x:c>
      <x:c r="D23" s="7" t="s">
        <x:v>197</x:v>
      </x:c>
      <x:c r="E23" s="2" t="s">
        <x:v>265</x:v>
      </x:c>
      <x:c r="F23" s="2" t="s">
        <x:v>264</x:v>
      </x:c>
      <x:c r="G23" s="9">
        <x:v>1</x:v>
      </x:c>
      <x:c r="H23" s="2" t="s">
        <x:v>262</x:v>
      </x:c>
      <x:c r="I23" s="2" t="s">
        <x:v>260</x:v>
      </x:c>
    </x:row>
    <x:row r="24" ht="54" customHeight="1">
      <x:c r="A24" s="2" t="s">
        <x:v>266</x:v>
      </x:c>
      <x:c r="B24" s="2" t="s">
        <x:v>267</x:v>
      </x:c>
      <x:c r="C24" s="2" t="s">
        <x:v>268</x:v>
      </x:c>
      <x:c r="D24" s="7" t="s">
        <x:v>197</x:v>
      </x:c>
      <x:c r="E24" s="2" t="s">
        <x:v>269</x:v>
      </x:c>
      <x:c r="F24" s="2" t="s">
        <x:v>268</x:v>
      </x:c>
      <x:c r="G24" s="9">
        <x:v>1</x:v>
      </x:c>
      <x:c r="H24" s="2" t="s">
        <x:v>270</x:v>
      </x:c>
      <x:c r="I24" s="2"/>
    </x:row>
    <x:row r="25" ht="54" customHeight="1">
      <x:c r="A25" s="2" t="s">
        <x:v>271</x:v>
      </x:c>
      <x:c r="B25" s="2" t="s">
        <x:v>229</x:v>
      </x:c>
      <x:c r="C25" s="2" t="s">
        <x:v>272</x:v>
      </x:c>
      <x:c r="D25" s="7" t="s">
        <x:v>197</x:v>
      </x:c>
      <x:c r="E25" s="2" t="s">
        <x:v>273</x:v>
      </x:c>
      <x:c r="F25" s="2" t="s">
        <x:v>274</x:v>
      </x:c>
      <x:c r="G25" s="9">
        <x:v>1</x:v>
      </x:c>
      <x:c r="H25" s="2" t="s">
        <x:v>275</x:v>
      </x:c>
      <x:c r="I25" s="2"/>
    </x:row>
    <x:row r="26" ht="54" customHeight="1">
      <x:c r="A26" s="2" t="s">
        <x:v>276</x:v>
      </x:c>
      <x:c r="B26" s="2" t="s">
        <x:v>267</x:v>
      </x:c>
      <x:c r="C26" s="2" t="s">
        <x:v>277</x:v>
      </x:c>
      <x:c r="D26" s="7" t="s">
        <x:v>197</x:v>
      </x:c>
      <x:c r="E26" s="2" t="s">
        <x:v>278</x:v>
      </x:c>
      <x:c r="F26" s="2" t="s">
        <x:v>277</x:v>
      </x:c>
      <x:c r="G26" s="9">
        <x:v>1</x:v>
      </x:c>
      <x:c r="H26" s="2" t="s">
        <x:v>206</x:v>
      </x:c>
      <x:c r="I26" s="2"/>
    </x:row>
    <x:row r="27" ht="54" customHeight="1">
      <x:c r="A27" s="2" t="s">
        <x:v>279</x:v>
      </x:c>
      <x:c r="B27" s="2" t="s">
        <x:v>61</x:v>
      </x:c>
      <x:c r="C27" s="2" t="s">
        <x:v>280</x:v>
      </x:c>
      <x:c r="D27" s="7" t="s">
        <x:v>197</x:v>
      </x:c>
      <x:c r="E27" s="2" t="s">
        <x:v>281</x:v>
      </x:c>
      <x:c r="F27" s="2" t="s">
        <x:v>280</x:v>
      </x:c>
      <x:c r="G27" s="9">
        <x:v>1</x:v>
      </x:c>
      <x:c r="H27" s="2" t="s">
        <x:v>282</x:v>
      </x:c>
      <x:c r="I27" s="2"/>
    </x:row>
    <x:row r="28" ht="54" customHeight="1">
      <x:c r="A28" s="2" t="s">
        <x:v>283</x:v>
      </x:c>
      <x:c r="B28" s="2" t="s">
        <x:v>61</x:v>
      </x:c>
      <x:c r="C28" s="2" t="s">
        <x:v>284</x:v>
      </x:c>
      <x:c r="D28" s="7" t="s">
        <x:v>197</x:v>
      </x:c>
      <x:c r="E28" s="2" t="s">
        <x:v>285</x:v>
      </x:c>
      <x:c r="F28" s="2" t="s">
        <x:v>286</x:v>
      </x:c>
      <x:c r="G28" s="9">
        <x:v>1</x:v>
      </x:c>
      <x:c r="H28" s="2" t="s">
        <x:v>206</x:v>
      </x:c>
      <x:c r="I28" s="2"/>
    </x:row>
    <x:row r="29" ht="54" customHeight="1">
      <x:c r="A29" s="2" t="s">
        <x:v>287</x:v>
      </x:c>
      <x:c r="B29" s="2" t="s">
        <x:v>288</x:v>
      </x:c>
      <x:c r="C29" s="2" t="s">
        <x:v>289</x:v>
      </x:c>
      <x:c r="D29" s="7" t="s">
        <x:v>197</x:v>
      </x:c>
      <x:c r="E29" s="2" t="s">
        <x:v>290</x:v>
      </x:c>
      <x:c r="F29" s="2" t="s">
        <x:v>289</x:v>
      </x:c>
      <x:c r="G29" s="9">
        <x:v>1</x:v>
      </x:c>
      <x:c r="H29" s="2" t="s">
        <x:v>291</x:v>
      </x:c>
      <x:c r="I29" s="2"/>
    </x:row>
    <x:row r="30" ht="54" customHeight="1">
      <x:c r="A30" s="2" t="s">
        <x:v>292</x:v>
      </x:c>
      <x:c r="B30" s="2" t="s">
        <x:v>61</x:v>
      </x:c>
      <x:c r="C30" s="2" t="s">
        <x:v>122</x:v>
      </x:c>
      <x:c r="D30" s="7" t="s">
        <x:v>197</x:v>
      </x:c>
      <x:c r="E30" s="2" t="s">
        <x:v>121</x:v>
      </x:c>
      <x:c r="F30" s="2" t="s">
        <x:v>122</x:v>
      </x:c>
      <x:c r="G30" s="9">
        <x:v>1</x:v>
      </x:c>
      <x:c r="H30" s="2" t="s">
        <x:v>293</x:v>
      </x:c>
      <x:c r="I30" s="2"/>
    </x:row>
    <x:row r="31" ht="54" customHeight="1">
      <x:c r="A31" s="2" t="s">
        <x:v>294</x:v>
      </x:c>
      <x:c r="B31" s="2" t="s">
        <x:v>77</x:v>
      </x:c>
      <x:c r="C31" s="2" t="s">
        <x:v>295</x:v>
      </x:c>
      <x:c r="D31" s="7" t="s">
        <x:v>197</x:v>
      </x:c>
      <x:c r="E31" s="2" t="s">
        <x:v>296</x:v>
      </x:c>
      <x:c r="F31" s="2" t="s">
        <x:v>295</x:v>
      </x:c>
      <x:c r="G31" s="9">
        <x:v>1</x:v>
      </x:c>
      <x:c r="H31" s="2" t="s">
        <x:v>297</x:v>
      </x:c>
      <x:c r="I31" s="2"/>
    </x:row>
    <x:row r="32" ht="54" customHeight="1">
      <x:c r="A32" s="2" t="s">
        <x:v>298</x:v>
      </x:c>
      <x:c r="B32" s="2" t="s">
        <x:v>109</x:v>
      </x:c>
      <x:c r="C32" s="2" t="s">
        <x:v>299</x:v>
      </x:c>
      <x:c r="D32" s="8" t="s">
        <x:v>215</x:v>
      </x:c>
      <x:c r="E32" s="2"/>
      <x:c r="F32" s="2"/>
      <x:c r="G32" s="9">
        <x:v>0.33300000000000002</x:v>
      </x:c>
      <x:c r="H32" s="2" t="s">
        <x:v>206</x:v>
      </x:c>
      <x:c r="I32" s="2"/>
    </x:row>
    <x:row r="33" ht="54" customHeight="1">
      <x:c r="A33" s="2" t="s">
        <x:v>300</x:v>
      </x:c>
      <x:c r="B33" s="2" t="s">
        <x:v>301</x:v>
      </x:c>
      <x:c r="C33" s="2" t="s">
        <x:v>302</x:v>
      </x:c>
      <x:c r="D33" s="7" t="s">
        <x:v>197</x:v>
      </x:c>
      <x:c r="E33" s="2" t="s">
        <x:v>303</x:v>
      </x:c>
      <x:c r="F33" s="2" t="s">
        <x:v>304</x:v>
      </x:c>
      <x:c r="G33" s="9">
        <x:v>0.84199999999999997</x:v>
      </x:c>
      <x:c r="H33" s="2" t="s">
        <x:v>297</x:v>
      </x:c>
      <x:c r="I33" s="2"/>
    </x:row>
    <x:row r="34" ht="54" customHeight="1">
      <x:c r="A34" s="2" t="s">
        <x:v>305</x:v>
      </x:c>
      <x:c r="B34" s="2" t="s">
        <x:v>109</x:v>
      </x:c>
      <x:c r="C34" s="2" t="s">
        <x:v>306</x:v>
      </x:c>
      <x:c r="D34" s="7" t="s">
        <x:v>197</x:v>
      </x:c>
      <x:c r="E34" s="2" t="s">
        <x:v>307</x:v>
      </x:c>
      <x:c r="F34" s="2" t="s">
        <x:v>306</x:v>
      </x:c>
      <x:c r="G34" s="9">
        <x:v>1</x:v>
      </x:c>
      <x:c r="H34" s="2" t="s">
        <x:v>308</x:v>
      </x:c>
      <x:c r="I34" s="2"/>
    </x:row>
    <x:row r="35" ht="54" customHeight="1">
      <x:c r="A35" s="2" t="s">
        <x:v>309</x:v>
      </x:c>
      <x:c r="B35" s="2" t="s">
        <x:v>267</x:v>
      </x:c>
      <x:c r="C35" s="2" t="s">
        <x:v>310</x:v>
      </x:c>
      <x:c r="D35" s="7" t="s">
        <x:v>197</x:v>
      </x:c>
      <x:c r="E35" s="2" t="s">
        <x:v>311</x:v>
      </x:c>
      <x:c r="F35" s="2" t="s">
        <x:v>312</x:v>
      </x:c>
      <x:c r="G35" s="9">
        <x:v>0.93799999999999994</x:v>
      </x:c>
      <x:c r="H35" s="2" t="s">
        <x:v>206</x:v>
      </x:c>
      <x:c r="I35" s="2"/>
    </x:row>
    <x:row r="36" ht="54" customHeight="1">
      <x:c r="A36" s="2" t="s">
        <x:v>313</x:v>
      </x:c>
      <x:c r="B36" s="2" t="s">
        <x:v>314</x:v>
      </x:c>
      <x:c r="C36" s="2" t="s">
        <x:v>315</x:v>
      </x:c>
      <x:c r="D36" s="7" t="s">
        <x:v>197</x:v>
      </x:c>
      <x:c r="E36" s="2" t="s">
        <x:v>316</x:v>
      </x:c>
      <x:c r="F36" s="2" t="s">
        <x:v>317</x:v>
      </x:c>
      <x:c r="G36" s="9">
        <x:v>1</x:v>
      </x:c>
      <x:c r="H36" s="2" t="s">
        <x:v>318</x:v>
      </x:c>
      <x:c r="I36" s="2"/>
    </x:row>
    <x:row r="37" ht="54" customHeight="1">
      <x:c r="A37" s="2" t="s">
        <x:v>319</x:v>
      </x:c>
      <x:c r="B37" s="2" t="s">
        <x:v>77</x:v>
      </x:c>
      <x:c r="C37" s="2" t="s">
        <x:v>320</x:v>
      </x:c>
      <x:c r="D37" s="7" t="s">
        <x:v>197</x:v>
      </x:c>
      <x:c r="E37" s="2" t="s">
        <x:v>321</x:v>
      </x:c>
      <x:c r="F37" s="2" t="s">
        <x:v>322</x:v>
      </x:c>
      <x:c r="G37" s="9">
        <x:v>0.97</x:v>
      </x:c>
      <x:c r="H37" s="2" t="s">
        <x:v>235</x:v>
      </x:c>
      <x:c r="I37" s="2"/>
    </x:row>
  </x:sheetData>
  <x:mergeCells>
    <x:mergeCell ref="A1:I1"/>
    <x:mergeCell ref="A2:I2"/>
  </x:mergeCells>
  <x:pageMargins left="0.7" right="0.7" top="0.75" bottom="0.75" header="0.3" footer="0.3"/>
  <x:tableParts count="1">
    <x:tablePart xmlns:r="http://schemas.openxmlformats.org/officeDocument/2006/relationships" r:id="Rb36a1570849440f3"/>
  </x:tableParts>
</x:worksheet>
</file>

<file path=xl/worksheets/sheet5.xml><?xml version="1.0" encoding="utf-8"?>
<x:worksheet xmlns:x="http://schemas.openxmlformats.org/spreadsheetml/2006/main">
  <x:sheetViews>
    <x:sheetView showGridLines="0" workbookViewId="0"/>
  </x:sheetViews>
  <x:sheetFormatPr defaultRowHeight="14.5"/>
  <x:cols>
    <x:col min="1" max="1" width="12" customWidth="1"/>
    <x:col min="2" max="2" width="34" customWidth="1"/>
    <x:col min="3" max="3" width="20" customWidth="1"/>
    <x:col min="4" max="4" width="42" customWidth="1"/>
    <x:col min="5" max="5" width="52" customWidth="1"/>
    <x:col min="6" max="6" width="42" customWidth="1"/>
  </x:cols>
  <x:sheetData>
    <x:row r="1" ht="30" customHeight="1">
      <x:c r="A1" s="13" t="s">
        <x:v>323</x:v>
      </x:c>
      <x:c r="B1" s="13"/>
      <x:c r="C1" s="13"/>
      <x:c r="D1" s="13"/>
      <x:c r="E1" s="13"/>
      <x:c r="F1" s="13"/>
    </x:row>
    <x:row r="2" ht="32" customHeight="1">
      <x:c r="A2" s="14" t="s">
        <x:v>324</x:v>
      </x:c>
      <x:c r="B2" s="14"/>
      <x:c r="C2" s="14"/>
      <x:c r="D2" s="14"/>
      <x:c r="E2" s="14"/>
      <x:c r="F2" s="14"/>
    </x:row>
    <x:row r="5" ht="32" customHeight="1">
      <x:c r="A5" s="1" t="s">
        <x:v>325</x:v>
      </x:c>
      <x:c r="B5" s="1" t="s">
        <x:v>326</x:v>
      </x:c>
      <x:c r="C5" s="1" t="s">
        <x:v>327</x:v>
      </x:c>
      <x:c r="D5" s="1" t="s">
        <x:v>328</x:v>
      </x:c>
      <x:c r="E5" s="1" t="s">
        <x:v>329</x:v>
      </x:c>
      <x:c r="F5" s="1" t="s">
        <x:v>330</x:v>
      </x:c>
    </x:row>
    <x:row r="6" ht="50" customHeight="1">
      <x:c r="A6" s="2" t="s">
        <x:v>331</x:v>
      </x:c>
      <x:c r="B6" s="2" t="s">
        <x:v>332</x:v>
      </x:c>
      <x:c r="C6" s="10" t="s">
        <x:v>333</x:v>
      </x:c>
      <x:c r="D6" s="2" t="s">
        <x:v>334</x:v>
      </x:c>
      <x:c r="E6" s="2" t="s">
        <x:v>335</x:v>
      </x:c>
      <x:c r="F6" s="2" t="s">
        <x:v>336</x:v>
      </x:c>
    </x:row>
    <x:row r="7" ht="50" customHeight="1">
      <x:c r="A7" s="2" t="s">
        <x:v>337</x:v>
      </x:c>
      <x:c r="B7" s="2" t="s">
        <x:v>338</x:v>
      </x:c>
      <x:c r="C7" s="11" t="s">
        <x:v>339</x:v>
      </x:c>
      <x:c r="D7" s="2" t="s">
        <x:v>340</x:v>
      </x:c>
      <x:c r="E7" s="2" t="s">
        <x:v>341</x:v>
      </x:c>
      <x:c r="F7" s="2" t="s">
        <x:v>342</x:v>
      </x:c>
    </x:row>
    <x:row r="8" ht="50" customHeight="1">
      <x:c r="A8" s="2" t="s">
        <x:v>343</x:v>
      </x:c>
      <x:c r="B8" s="2" t="s">
        <x:v>344</x:v>
      </x:c>
      <x:c r="C8" s="11" t="s">
        <x:v>339</x:v>
      </x:c>
      <x:c r="D8" s="2" t="s">
        <x:v>345</x:v>
      </x:c>
      <x:c r="E8" s="2" t="s">
        <x:v>346</x:v>
      </x:c>
      <x:c r="F8" s="2" t="s">
        <x:v>347</x:v>
      </x:c>
    </x:row>
    <x:row r="9" ht="50" customHeight="1">
      <x:c r="A9" s="2" t="s">
        <x:v>348</x:v>
      </x:c>
      <x:c r="B9" s="2" t="s">
        <x:v>349</x:v>
      </x:c>
      <x:c r="C9" s="10" t="s">
        <x:v>333</x:v>
      </x:c>
      <x:c r="D9" s="2" t="s">
        <x:v>350</x:v>
      </x:c>
      <x:c r="E9" s="2" t="s">
        <x:v>351</x:v>
      </x:c>
      <x:c r="F9" s="2" t="s">
        <x:v>352</x:v>
      </x:c>
    </x:row>
    <x:row r="10" ht="50" customHeight="1">
      <x:c r="A10" s="2" t="s">
        <x:v>353</x:v>
      </x:c>
      <x:c r="B10" s="2" t="s">
        <x:v>354</x:v>
      </x:c>
      <x:c r="C10" s="12" t="s">
        <x:v>355</x:v>
      </x:c>
      <x:c r="D10" s="2" t="s">
        <x:v>356</x:v>
      </x:c>
      <x:c r="E10" s="2" t="s">
        <x:v>357</x:v>
      </x:c>
      <x:c r="F10" s="2" t="s">
        <x:v>358</x:v>
      </x:c>
    </x:row>
    <x:row r="11" ht="50" customHeight="1">
      <x:c r="A11" s="2" t="s">
        <x:v>359</x:v>
      </x:c>
      <x:c r="B11" s="2" t="s">
        <x:v>360</x:v>
      </x:c>
      <x:c r="C11" s="12" t="s">
        <x:v>355</x:v>
      </x:c>
      <x:c r="D11" s="2" t="s">
        <x:v>361</x:v>
      </x:c>
      <x:c r="E11" s="2" t="s">
        <x:v>362</x:v>
      </x:c>
      <x:c r="F11" s="2" t="s">
        <x:v>363</x:v>
      </x:c>
    </x:row>
    <x:row r="12" ht="50" customHeight="1">
      <x:c r="A12" s="2" t="s">
        <x:v>364</x:v>
      </x:c>
      <x:c r="B12" s="2" t="s">
        <x:v>365</x:v>
      </x:c>
      <x:c r="C12" s="12" t="s">
        <x:v>355</x:v>
      </x:c>
      <x:c r="D12" s="2" t="s">
        <x:v>366</x:v>
      </x:c>
      <x:c r="E12" s="2" t="s">
        <x:v>367</x:v>
      </x:c>
      <x:c r="F12" s="2" t="s">
        <x:v>368</x:v>
      </x:c>
    </x:row>
    <x:row r="13" ht="50" customHeight="1">
      <x:c r="A13" s="2" t="s">
        <x:v>369</x:v>
      </x:c>
      <x:c r="B13" s="2" t="s">
        <x:v>370</x:v>
      </x:c>
      <x:c r="C13" s="12" t="s">
        <x:v>355</x:v>
      </x:c>
      <x:c r="D13" s="2" t="s">
        <x:v>371</x:v>
      </x:c>
      <x:c r="E13" s="2" t="s">
        <x:v>372</x:v>
      </x:c>
      <x:c r="F13" s="2" t="s">
        <x:v>373</x:v>
      </x:c>
    </x:row>
    <x:row r="14" ht="50" customHeight="1">
      <x:c r="A14" s="2" t="s">
        <x:v>374</x:v>
      </x:c>
      <x:c r="B14" s="2" t="s">
        <x:v>375</x:v>
      </x:c>
      <x:c r="C14" s="12" t="s">
        <x:v>355</x:v>
      </x:c>
      <x:c r="D14" s="2" t="s">
        <x:v>376</x:v>
      </x:c>
      <x:c r="E14" s="2" t="s">
        <x:v>377</x:v>
      </x:c>
      <x:c r="F14" s="2" t="s">
        <x:v>378</x:v>
      </x:c>
    </x:row>
    <x:row r="15" ht="50" customHeight="1">
      <x:c r="A15" s="2" t="s">
        <x:v>379</x:v>
      </x:c>
      <x:c r="B15" s="2" t="s">
        <x:v>380</x:v>
      </x:c>
      <x:c r="C15" s="12" t="s">
        <x:v>355</x:v>
      </x:c>
      <x:c r="D15" s="2" t="s">
        <x:v>381</x:v>
      </x:c>
      <x:c r="E15" s="2" t="s">
        <x:v>382</x:v>
      </x:c>
      <x:c r="F15" s="2" t="s">
        <x:v>383</x:v>
      </x:c>
    </x:row>
    <x:row r="17">
      <x:c r="A17" s="16" t="s">
        <x:v>384</x:v>
      </x:c>
      <x:c r="B17" s="16"/>
      <x:c r="C17" s="16"/>
      <x:c r="D17" s="16"/>
      <x:c r="E17" s="16"/>
      <x:c r="F17" s="16"/>
    </x:row>
    <x:row r="18">
      <x:c r="A18" s="23" t="s">
        <x:v>385</x:v>
      </x:c>
      <x:c r="B18" s="24"/>
      <x:c r="C18" s="24"/>
      <x:c r="D18" s="24"/>
      <x:c r="E18" s="24"/>
      <x:c r="F18" s="25"/>
    </x:row>
    <x:row r="19">
      <x:c r="A19" s="26"/>
      <x:c r="B19" s="27"/>
      <x:c r="C19" s="27"/>
      <x:c r="D19" s="27"/>
      <x:c r="E19" s="27"/>
      <x:c r="F19" s="28"/>
    </x:row>
    <x:row r="20">
      <x:c r="A20" s="26"/>
      <x:c r="B20" s="27"/>
      <x:c r="C20" s="27"/>
      <x:c r="D20" s="27"/>
      <x:c r="E20" s="27"/>
      <x:c r="F20" s="28"/>
    </x:row>
    <x:row r="21">
      <x:c r="A21" s="26"/>
      <x:c r="B21" s="27"/>
      <x:c r="C21" s="27"/>
      <x:c r="D21" s="27"/>
      <x:c r="E21" s="27"/>
      <x:c r="F21" s="28"/>
    </x:row>
    <x:row r="22">
      <x:c r="A22" s="29"/>
      <x:c r="B22" s="30"/>
      <x:c r="C22" s="30"/>
      <x:c r="D22" s="30"/>
      <x:c r="E22" s="30"/>
      <x:c r="F22" s="31"/>
    </x:row>
    <x:row r="24">
      <x:c r="A24" s="32" t="s">
        <x:v>386</x:v>
      </x:c>
      <x:c r="B24" s="32"/>
      <x:c r="C24" s="32"/>
      <x:c r="D24" s="32"/>
      <x:c r="E24" s="32"/>
      <x:c r="F24" s="32"/>
    </x:row>
  </x:sheetData>
  <x:mergeCells>
    <x:mergeCell ref="A1:F1"/>
    <x:mergeCell ref="A2:F2"/>
    <x:mergeCell ref="A17:F17"/>
    <x:mergeCell ref="A18:F22"/>
    <x:mergeCell ref="A24:F24"/>
  </x:mergeCells>
  <x:pageMargins left="0.7" right="0.7" top="0.75" bottom="0.75" header="0.3" footer="0.3"/>
  <x:tableParts count="1">
    <x:tablePart xmlns:r="http://schemas.openxmlformats.org/officeDocument/2006/relationships" r:id="R7f54be8555c34a89"/>
  </x:tableParts>
</x:worksheet>
</file>

<file path=xl/worksheets/sheet6.xml><?xml version="1.0" encoding="utf-8"?>
<x:worksheet xmlns:x="http://schemas.openxmlformats.org/spreadsheetml/2006/main">
  <x:sheetViews>
    <x:sheetView showGridLines="0" workbookViewId="0"/>
  </x:sheetViews>
  <x:sheetFormatPr defaultRowHeight="14.5"/>
  <x:cols>
    <x:col min="1" max="1" width="38" customWidth="1"/>
    <x:col min="2" max="2" width="25" customWidth="1"/>
    <x:col min="3" max="3" width="62" customWidth="1"/>
    <x:col min="4" max="4" width="55" customWidth="1"/>
  </x:cols>
  <x:sheetData>
    <x:row r="1" ht="30" customHeight="1">
      <x:c r="A1" s="13" t="s">
        <x:v>387</x:v>
      </x:c>
      <x:c r="B1" s="13"/>
      <x:c r="C1" s="13"/>
      <x:c r="D1" s="13"/>
    </x:row>
    <x:row r="2" ht="32" customHeight="1">
      <x:c r="A2" s="14" t="s">
        <x:v>388</x:v>
      </x:c>
      <x:c r="B2" s="14"/>
      <x:c r="C2" s="14"/>
      <x:c r="D2" s="14"/>
    </x:row>
    <x:row r="5" ht="32" customHeight="1">
      <x:c r="A5" s="1" t="s">
        <x:v>389</x:v>
      </x:c>
      <x:c r="B5" s="1" t="s">
        <x:v>160</x:v>
      </x:c>
      <x:c r="C5" s="1" t="s">
        <x:v>390</x:v>
      </x:c>
      <x:c r="D5" s="1" t="s">
        <x:v>161</x:v>
      </x:c>
    </x:row>
    <x:row r="6" ht="42" customHeight="1">
      <x:c r="A6" s="2" t="s">
        <x:v>391</x:v>
      </x:c>
      <x:c r="B6" s="2" t="s">
        <x:v>392</x:v>
      </x:c>
      <x:c r="C6" s="2" t="s">
        <x:v>393</x:v>
      </x:c>
      <x:c r="D6" s="2" t="s">
        <x:v>394</x:v>
      </x:c>
    </x:row>
    <x:row r="7" ht="42" customHeight="1">
      <x:c r="A7" s="2" t="s">
        <x:v>395</x:v>
      </x:c>
      <x:c r="B7" s="2" t="s">
        <x:v>396</x:v>
      </x:c>
      <x:c r="C7" s="2" t="s">
        <x:v>397</x:v>
      </x:c>
      <x:c r="D7" s="2" t="s">
        <x:v>398</x:v>
      </x:c>
    </x:row>
    <x:row r="8" ht="42" customHeight="1">
      <x:c r="A8" s="2" t="s">
        <x:v>399</x:v>
      </x:c>
      <x:c r="B8" s="2" t="s">
        <x:v>400</x:v>
      </x:c>
      <x:c r="C8" s="2" t="s">
        <x:v>401</x:v>
      </x:c>
      <x:c r="D8" s="2" t="s">
        <x:v>402</x:v>
      </x:c>
    </x:row>
    <x:row r="9" ht="42" customHeight="1">
      <x:c r="A9" s="2" t="s">
        <x:v>403</x:v>
      </x:c>
      <x:c r="B9" s="2" t="s">
        <x:v>404</x:v>
      </x:c>
      <x:c r="C9" s="2" t="s">
        <x:v>405</x:v>
      </x:c>
      <x:c r="D9" s="2" t="s">
        <x:v>406</x:v>
      </x:c>
    </x:row>
    <x:row r="10" ht="42" customHeight="1">
      <x:c r="A10" s="2" t="s">
        <x:v>407</x:v>
      </x:c>
      <x:c r="B10" s="2" t="s">
        <x:v>408</x:v>
      </x:c>
      <x:c r="C10" s="2" t="s">
        <x:v>409</x:v>
      </x:c>
      <x:c r="D10" s="2" t="s">
        <x:v>410</x:v>
      </x:c>
    </x:row>
    <x:row r="11" ht="42" customHeight="1">
      <x:c r="A11" s="2" t="s">
        <x:v>411</x:v>
      </x:c>
      <x:c r="B11" s="2" t="s">
        <x:v>412</x:v>
      </x:c>
      <x:c r="C11" s="2" t="s">
        <x:v>413</x:v>
      </x:c>
      <x:c r="D11" s="2" t="s">
        <x:v>414</x:v>
      </x:c>
    </x:row>
    <x:row r="12" ht="42" customHeight="1">
      <x:c r="A12" s="2" t="s">
        <x:v>415</x:v>
      </x:c>
      <x:c r="B12" s="2" t="s">
        <x:v>197</x:v>
      </x:c>
      <x:c r="C12" s="2" t="s">
        <x:v>416</x:v>
      </x:c>
      <x:c r="D12" s="2" t="s">
        <x:v>417</x:v>
      </x:c>
    </x:row>
    <x:row r="13" ht="42" customHeight="1">
      <x:c r="A13" s="2" t="s">
        <x:v>418</x:v>
      </x:c>
      <x:c r="B13" s="2" t="s">
        <x:v>197</x:v>
      </x:c>
      <x:c r="C13" s="2" t="s">
        <x:v>419</x:v>
      </x:c>
      <x:c r="D13" s="2" t="s">
        <x:v>417</x:v>
      </x:c>
    </x:row>
    <x:row r="14" ht="42" customHeight="1">
      <x:c r="A14" s="2" t="s">
        <x:v>420</x:v>
      </x:c>
      <x:c r="B14" s="2" t="s">
        <x:v>197</x:v>
      </x:c>
      <x:c r="C14" s="2" t="s">
        <x:v>421</x:v>
      </x:c>
      <x:c r="D14" s="2" t="s">
        <x:v>422</x:v>
      </x:c>
    </x:row>
    <x:row r="15" ht="42" customHeight="1">
      <x:c r="A15" s="2" t="s">
        <x:v>423</x:v>
      </x:c>
      <x:c r="B15" s="2" t="s">
        <x:v>424</x:v>
      </x:c>
      <x:c r="C15" s="2" t="s">
        <x:v>425</x:v>
      </x:c>
      <x:c r="D15" s="2" t="s">
        <x:v>426</x:v>
      </x:c>
    </x:row>
    <x:row r="16" ht="42" customHeight="1">
      <x:c r="A16" s="2" t="s">
        <x:v>427</x:v>
      </x:c>
      <x:c r="B16" s="2" t="s">
        <x:v>428</x:v>
      </x:c>
      <x:c r="C16" s="2" t="s">
        <x:v>429</x:v>
      </x:c>
      <x:c r="D16" s="2" t="s">
        <x:v>430</x:v>
      </x:c>
    </x:row>
  </x:sheetData>
  <x:mergeCells>
    <x:mergeCell ref="A1:D1"/>
    <x:mergeCell ref="A2:D2"/>
  </x:mergeCells>
  <x:pageMargins left="0.7" right="0.7" top="0.75" bottom="0.75" header="0.3" footer="0.3"/>
  <x:tableParts count="1">
    <x:tablePart xmlns:r="http://schemas.openxmlformats.org/officeDocument/2006/relationships" r:id="R50c1a5dd3d30468b"/>
  </x:tableParts>
</x:worksheet>
</file>